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44" windowWidth="23256" windowHeight="13176"/>
  </bookViews>
  <sheets>
    <sheet name="鄭小姐(追加)" sheetId="30" r:id="rId1"/>
    <sheet name="建宏車業" sheetId="29" r:id="rId2"/>
    <sheet name="蔡同學" sheetId="28" r:id="rId3"/>
    <sheet name="湯顧問" sheetId="27" r:id="rId4"/>
    <sheet name="黃顧問 (2)" sheetId="26" r:id="rId5"/>
    <sheet name="黃顧問" sheetId="25" r:id="rId6"/>
    <sheet name="八寶寮 (2)" sheetId="24" r:id="rId7"/>
    <sheet name="八寶寮" sheetId="23" r:id="rId8"/>
    <sheet name="蔡先生 (2)" sheetId="22" r:id="rId9"/>
    <sheet name="蔡先生" sheetId="21" r:id="rId10"/>
    <sheet name="鄭小姐" sheetId="20" r:id="rId11"/>
    <sheet name="蕭小姐" sheetId="19" r:id="rId12"/>
    <sheet name="綠島" sheetId="18" r:id="rId13"/>
    <sheet name="民雄" sheetId="17" r:id="rId14"/>
    <sheet name="致銘" sheetId="16" r:id="rId15"/>
    <sheet name="小耿學長" sheetId="15" r:id="rId16"/>
    <sheet name="小歐(東義路)" sheetId="14" r:id="rId17"/>
    <sheet name="鴻儀(家)" sheetId="13" r:id="rId18"/>
    <sheet name="阿華家" sheetId="12" r:id="rId19"/>
    <sheet name="邱顧問" sheetId="11" r:id="rId20"/>
    <sheet name="致鳴" sheetId="10" r:id="rId21"/>
    <sheet name="黃先生" sheetId="9" r:id="rId22"/>
    <sheet name="政憲學長" sheetId="4" r:id="rId23"/>
    <sheet name="工作表2" sheetId="2" r:id="rId24"/>
    <sheet name="工作表3" sheetId="3" r:id="rId25"/>
    <sheet name="舊" sheetId="5" r:id="rId26"/>
  </sheets>
  <definedNames>
    <definedName name="_xlnm.Print_Area" localSheetId="7">八寶寮!$B$1:$K$31</definedName>
    <definedName name="_xlnm.Print_Area" localSheetId="6">'八寶寮 (2)'!$B$1:$K$31</definedName>
    <definedName name="_xlnm.Print_Area" localSheetId="15">小耿學長!$A$1:$K$31</definedName>
    <definedName name="_xlnm.Print_Area" localSheetId="16">'小歐(東義路)'!$A$1:$I$29</definedName>
    <definedName name="_xlnm.Print_Area" localSheetId="13">民雄!$B$1:$K$31</definedName>
    <definedName name="_xlnm.Print_Area" localSheetId="19">邱顧問!$A$1:$I$28</definedName>
    <definedName name="_xlnm.Print_Area" localSheetId="18">阿華家!$A$1:$I$27</definedName>
    <definedName name="_xlnm.Print_Area" localSheetId="1">建宏車業!$B$1:$K$31</definedName>
    <definedName name="_xlnm.Print_Area" localSheetId="22">政憲學長!$A$1:$H$24</definedName>
    <definedName name="_xlnm.Print_Area" localSheetId="14">致銘!$B$1:$K$29</definedName>
    <definedName name="_xlnm.Print_Area" localSheetId="20">致鳴!$A$1:$I$30</definedName>
    <definedName name="_xlnm.Print_Area" localSheetId="3">湯顧問!$B$1:$K$31</definedName>
    <definedName name="_xlnm.Print_Area" localSheetId="21">黃先生!$A$1:$H$24</definedName>
    <definedName name="_xlnm.Print_Area" localSheetId="5">黃顧問!$B$1:$K$31</definedName>
    <definedName name="_xlnm.Print_Area" localSheetId="4">'黃顧問 (2)'!$B$1:$K$31</definedName>
    <definedName name="_xlnm.Print_Area" localSheetId="12">綠島!$B$1:$K$31</definedName>
    <definedName name="_xlnm.Print_Area" localSheetId="9">蔡先生!$B$1:$K$31</definedName>
    <definedName name="_xlnm.Print_Area" localSheetId="8">'蔡先生 (2)'!$B$1:$K$30</definedName>
    <definedName name="_xlnm.Print_Area" localSheetId="2">蔡同學!$B$1:$K$31</definedName>
    <definedName name="_xlnm.Print_Area" localSheetId="10">鄭小姐!$B$1:$K$31</definedName>
    <definedName name="_xlnm.Print_Area" localSheetId="0">'鄭小姐(追加)'!$B$1:$K$31</definedName>
    <definedName name="_xlnm.Print_Area" localSheetId="11">蕭小姐!$B$1:$K$31</definedName>
    <definedName name="_xlnm.Print_Area" localSheetId="17">'鴻儀(家)'!$A$1:$I$27</definedName>
    <definedName name="_xlnm.Print_Area" localSheetId="25">舊!$A$1:$I$30</definedName>
  </definedNames>
  <calcPr calcId="145621"/>
</workbook>
</file>

<file path=xl/calcChain.xml><?xml version="1.0" encoding="utf-8"?>
<calcChain xmlns="http://schemas.openxmlformats.org/spreadsheetml/2006/main">
  <c r="I26" i="30" l="1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27" i="30" l="1"/>
  <c r="F27" i="30" s="1"/>
  <c r="I26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26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27" i="29" l="1"/>
  <c r="F27" i="29" s="1"/>
  <c r="I27" i="28"/>
  <c r="F27" i="28" s="1"/>
  <c r="F27" i="27"/>
  <c r="I11" i="27"/>
  <c r="I12" i="27"/>
  <c r="I13" i="27"/>
  <c r="I10" i="27"/>
  <c r="I26" i="27"/>
  <c r="I23" i="27"/>
  <c r="I22" i="27"/>
  <c r="I21" i="27"/>
  <c r="I20" i="27"/>
  <c r="I19" i="27"/>
  <c r="I18" i="27"/>
  <c r="I17" i="27"/>
  <c r="I16" i="27"/>
  <c r="I15" i="27"/>
  <c r="I14" i="27"/>
  <c r="I27" i="27"/>
  <c r="I9" i="27"/>
  <c r="I8" i="27"/>
  <c r="I7" i="27"/>
  <c r="I26" i="26" l="1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9" i="26"/>
  <c r="I8" i="26"/>
  <c r="I7" i="26"/>
  <c r="I26" i="25" l="1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9" i="25"/>
  <c r="I8" i="25"/>
  <c r="I7" i="25"/>
  <c r="I26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9" i="24"/>
  <c r="I8" i="24"/>
  <c r="I7" i="24"/>
  <c r="I8" i="23" l="1"/>
  <c r="I9" i="23"/>
  <c r="I7" i="23"/>
  <c r="I26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25" i="22" l="1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26" i="22" l="1"/>
  <c r="F26" i="22"/>
  <c r="I26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9" i="20"/>
  <c r="I10" i="20"/>
  <c r="I11" i="20"/>
  <c r="I12" i="20"/>
  <c r="I13" i="20"/>
  <c r="I14" i="20"/>
  <c r="I15" i="20"/>
  <c r="I16" i="20"/>
  <c r="I17" i="20"/>
  <c r="I27" i="21" l="1"/>
  <c r="F27" i="21"/>
  <c r="I26" i="20"/>
  <c r="I23" i="20"/>
  <c r="I22" i="20"/>
  <c r="I21" i="20"/>
  <c r="I20" i="20"/>
  <c r="I19" i="20"/>
  <c r="I18" i="20"/>
  <c r="I8" i="20"/>
  <c r="I7" i="20"/>
  <c r="I27" i="20" l="1"/>
  <c r="F27" i="20"/>
  <c r="I15" i="19"/>
  <c r="I26" i="19"/>
  <c r="I23" i="19"/>
  <c r="I22" i="19"/>
  <c r="I21" i="19"/>
  <c r="I20" i="19"/>
  <c r="I19" i="19"/>
  <c r="I18" i="19"/>
  <c r="I17" i="19"/>
  <c r="I16" i="19"/>
  <c r="I14" i="19"/>
  <c r="I13" i="19"/>
  <c r="I12" i="19"/>
  <c r="I11" i="19"/>
  <c r="I10" i="19"/>
  <c r="I9" i="19"/>
  <c r="I8" i="19"/>
  <c r="I7" i="19"/>
  <c r="I27" i="19" l="1"/>
  <c r="F27" i="19"/>
  <c r="I26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7" i="17"/>
  <c r="I26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27" i="18" l="1"/>
  <c r="F27" i="18"/>
  <c r="I27" i="17"/>
  <c r="F27" i="17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F25" i="16" l="1"/>
  <c r="I25" i="16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25" i="15" l="1"/>
  <c r="E25" i="15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25" i="14" l="1"/>
  <c r="D25" i="14"/>
  <c r="G24" i="13" l="1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25" i="13" l="1"/>
  <c r="D25" i="13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25" i="10"/>
  <c r="G23" i="10"/>
  <c r="G22" i="10"/>
  <c r="G21" i="10"/>
  <c r="G24" i="10"/>
  <c r="G17" i="10"/>
  <c r="G26" i="10"/>
  <c r="G20" i="10"/>
  <c r="G19" i="10"/>
  <c r="G18" i="10"/>
  <c r="G16" i="10"/>
  <c r="G15" i="10"/>
  <c r="G14" i="10"/>
  <c r="G13" i="10"/>
  <c r="G12" i="10"/>
  <c r="G11" i="10"/>
  <c r="G10" i="10"/>
  <c r="G9" i="10"/>
  <c r="G8" i="10"/>
  <c r="G7" i="10"/>
  <c r="D28" i="10" l="1"/>
  <c r="G28" i="10"/>
  <c r="G25" i="12"/>
  <c r="D25" i="12"/>
  <c r="G25" i="11"/>
  <c r="D25" i="11"/>
  <c r="F11" i="4"/>
  <c r="F11" i="9" l="1"/>
  <c r="F12" i="9"/>
  <c r="F13" i="9"/>
  <c r="F14" i="9"/>
  <c r="F15" i="9"/>
  <c r="F16" i="9"/>
  <c r="F18" i="9"/>
  <c r="F19" i="9"/>
  <c r="F20" i="9"/>
  <c r="F21" i="9"/>
  <c r="F10" i="9"/>
  <c r="F9" i="9"/>
  <c r="F8" i="9"/>
  <c r="F7" i="9"/>
  <c r="F7" i="4"/>
  <c r="F22" i="9" l="1"/>
  <c r="D22" i="9"/>
  <c r="G21" i="5"/>
  <c r="G20" i="5"/>
  <c r="G19" i="5" l="1"/>
  <c r="G18" i="5"/>
  <c r="G17" i="5"/>
  <c r="G16" i="5"/>
  <c r="G15" i="5"/>
  <c r="G14" i="5"/>
  <c r="G13" i="5"/>
  <c r="G12" i="5"/>
  <c r="G11" i="5"/>
  <c r="G10" i="5"/>
  <c r="G9" i="5"/>
  <c r="G8" i="5"/>
  <c r="G7" i="5"/>
  <c r="F19" i="4"/>
  <c r="F18" i="4"/>
  <c r="F17" i="4"/>
  <c r="F16" i="4"/>
  <c r="F15" i="4"/>
  <c r="F14" i="4"/>
  <c r="F13" i="4"/>
  <c r="F12" i="4"/>
  <c r="F10" i="4"/>
  <c r="F9" i="4"/>
  <c r="F8" i="4"/>
  <c r="G27" i="5" l="1"/>
  <c r="D27" i="5"/>
  <c r="D22" i="4"/>
  <c r="F22" i="4"/>
</calcChain>
</file>

<file path=xl/sharedStrings.xml><?xml version="1.0" encoding="utf-8"?>
<sst xmlns="http://schemas.openxmlformats.org/spreadsheetml/2006/main" count="762" uniqueCount="308">
  <si>
    <t>規格內容</t>
  </si>
  <si>
    <t>數量</t>
  </si>
  <si>
    <t>單價</t>
  </si>
  <si>
    <t>總額</t>
  </si>
  <si>
    <t>新台幣</t>
  </si>
  <si>
    <t>備註</t>
    <phoneticPr fontId="2" type="noConversion"/>
  </si>
  <si>
    <t>經手人:莊全立</t>
    <phoneticPr fontId="2" type="noConversion"/>
  </si>
  <si>
    <t>NT$</t>
    <phoneticPr fontId="2" type="noConversion"/>
  </si>
  <si>
    <t>估價單</t>
    <phoneticPr fontId="2" type="noConversion"/>
  </si>
  <si>
    <t>項目名稱</t>
    <phoneticPr fontId="2" type="noConversion"/>
  </si>
  <si>
    <t>合計</t>
    <phoneticPr fontId="2" type="noConversion"/>
  </si>
  <si>
    <t>1.本估價單有效期間   60  天</t>
    <phoneticPr fontId="2" type="noConversion"/>
  </si>
  <si>
    <t>2.如蒙惠雇請先付訂金       成</t>
    <phoneticPr fontId="2" type="noConversion"/>
  </si>
  <si>
    <t>立翔水電行</t>
    <phoneticPr fontId="2" type="noConversion"/>
  </si>
  <si>
    <t>台照</t>
    <phoneticPr fontId="2" type="noConversion"/>
  </si>
  <si>
    <t>朴子回收站</t>
    <phoneticPr fontId="2" type="noConversion"/>
  </si>
  <si>
    <t>24小時定時</t>
    <phoneticPr fontId="2" type="noConversion"/>
  </si>
  <si>
    <t>國際/組</t>
    <phoneticPr fontId="2" type="noConversion"/>
  </si>
  <si>
    <t>30A電磁開關</t>
    <phoneticPr fontId="2" type="noConversion"/>
  </si>
  <si>
    <t>士林/組</t>
    <phoneticPr fontId="2" type="noConversion"/>
  </si>
  <si>
    <t>品                             名</t>
    <phoneticPr fontId="2" type="noConversion"/>
  </si>
  <si>
    <t>ST開關箱</t>
    <phoneticPr fontId="2" type="noConversion"/>
  </si>
  <si>
    <t>只</t>
    <phoneticPr fontId="2" type="noConversion"/>
  </si>
  <si>
    <t>組</t>
    <phoneticPr fontId="2" type="noConversion"/>
  </si>
  <si>
    <t>壁扇</t>
    <phoneticPr fontId="2" type="noConversion"/>
  </si>
  <si>
    <t>台</t>
    <phoneticPr fontId="2" type="noConversion"/>
  </si>
  <si>
    <t>1/2*CD管</t>
    <phoneticPr fontId="2" type="noConversion"/>
  </si>
  <si>
    <t>丸</t>
    <phoneticPr fontId="2" type="noConversion"/>
  </si>
  <si>
    <t>1P*BOX</t>
    <phoneticPr fontId="2" type="noConversion"/>
  </si>
  <si>
    <t>個</t>
    <phoneticPr fontId="2" type="noConversion"/>
  </si>
  <si>
    <t>冰箱專用電源</t>
    <phoneticPr fontId="2" type="noConversion"/>
  </si>
  <si>
    <t>式</t>
    <phoneticPr fontId="2" type="noConversion"/>
  </si>
  <si>
    <t>高水箱零件1/2</t>
    <phoneticPr fontId="2" type="noConversion"/>
  </si>
  <si>
    <t>組</t>
    <phoneticPr fontId="2" type="noConversion"/>
  </si>
  <si>
    <t>支</t>
    <phoneticPr fontId="2" type="noConversion"/>
  </si>
  <si>
    <t>2插1切開關</t>
    <phoneticPr fontId="2" type="noConversion"/>
  </si>
  <si>
    <t>1P*2洞附接地插座</t>
    <phoneticPr fontId="2" type="noConversion"/>
  </si>
  <si>
    <t>零星材料</t>
    <phoneticPr fontId="2" type="noConversion"/>
  </si>
  <si>
    <t>備       註</t>
    <phoneticPr fontId="2" type="noConversion"/>
  </si>
  <si>
    <t>項 目</t>
    <phoneticPr fontId="2" type="noConversion"/>
  </si>
  <si>
    <t>規            格</t>
    <phoneticPr fontId="2" type="noConversion"/>
  </si>
  <si>
    <t>單       價</t>
    <phoneticPr fontId="2" type="noConversion"/>
  </si>
  <si>
    <t>數      量</t>
    <phoneticPr fontId="2" type="noConversion"/>
  </si>
  <si>
    <t>總       額</t>
    <phoneticPr fontId="2" type="noConversion"/>
  </si>
  <si>
    <t>50公分ST扶手</t>
    <phoneticPr fontId="2" type="noConversion"/>
  </si>
  <si>
    <t>4尺*LED單管吸頂日光燈</t>
    <phoneticPr fontId="2" type="noConversion"/>
  </si>
  <si>
    <t>中華民國 110 年 04 月 21  日</t>
    <phoneticPr fontId="2" type="noConversion"/>
  </si>
  <si>
    <t>工資</t>
    <phoneticPr fontId="2" type="noConversion"/>
  </si>
  <si>
    <t>稅金</t>
    <phoneticPr fontId="2" type="noConversion"/>
  </si>
  <si>
    <t>以下空白</t>
    <phoneticPr fontId="2" type="noConversion"/>
  </si>
  <si>
    <t>政憲學長</t>
    <phoneticPr fontId="2" type="noConversion"/>
  </si>
  <si>
    <t>中華民國  112 年    1 月 3  日</t>
    <phoneticPr fontId="2" type="noConversion"/>
  </si>
  <si>
    <t>大井/台</t>
    <phoneticPr fontId="2" type="noConversion"/>
  </si>
  <si>
    <t>1/4電子式加壓機(含安裝工資)</t>
    <phoneticPr fontId="2" type="noConversion"/>
  </si>
  <si>
    <t>組</t>
    <phoneticPr fontId="2" type="noConversion"/>
  </si>
  <si>
    <t>水位控制器(含工資)</t>
    <phoneticPr fontId="2" type="noConversion"/>
  </si>
  <si>
    <t>式</t>
    <phoneticPr fontId="2" type="noConversion"/>
  </si>
  <si>
    <t>清洗水塔工資</t>
    <phoneticPr fontId="2" type="noConversion"/>
  </si>
  <si>
    <t>更新臉盆*ST壁虎</t>
    <phoneticPr fontId="2" type="noConversion"/>
  </si>
  <si>
    <t>以上不含稅金</t>
    <phoneticPr fontId="2" type="noConversion"/>
  </si>
  <si>
    <t>黃先生</t>
    <phoneticPr fontId="2" type="noConversion"/>
  </si>
  <si>
    <t>樓層電線更新工程</t>
    <phoneticPr fontId="2" type="noConversion"/>
  </si>
  <si>
    <t>樓</t>
    <phoneticPr fontId="2" type="noConversion"/>
  </si>
  <si>
    <t>5.5電線、2.0電線、.1.6電線、國際插座、太平洋電線、增設一樓冷氣電源工程</t>
    <phoneticPr fontId="2" type="noConversion"/>
  </si>
  <si>
    <t>式</t>
    <phoneticPr fontId="2" type="noConversion"/>
  </si>
  <si>
    <t>5.5*3C電纜</t>
    <phoneticPr fontId="2" type="noConversion"/>
  </si>
  <si>
    <t>米</t>
    <phoneticPr fontId="2" type="noConversion"/>
  </si>
  <si>
    <t>工資</t>
    <phoneticPr fontId="2" type="noConversion"/>
  </si>
  <si>
    <t>洗衣機排水工程</t>
    <phoneticPr fontId="2" type="noConversion"/>
  </si>
  <si>
    <t>臉盆混合龍頭更新材料工資</t>
    <phoneticPr fontId="2" type="noConversion"/>
  </si>
  <si>
    <t>組</t>
    <phoneticPr fontId="2" type="noConversion"/>
  </si>
  <si>
    <t>安裝電燈工資</t>
    <phoneticPr fontId="2" type="noConversion"/>
  </si>
  <si>
    <t>13W附蓋日光燈組</t>
    <phoneticPr fontId="2" type="noConversion"/>
  </si>
  <si>
    <t>2尺*LED燈管</t>
    <phoneticPr fontId="2" type="noConversion"/>
  </si>
  <si>
    <t>支</t>
    <phoneticPr fontId="2" type="noConversion"/>
  </si>
  <si>
    <t>以上不含稅金</t>
    <phoneticPr fontId="2" type="noConversion"/>
  </si>
  <si>
    <t>1-1/2*2.0南亞管、另料工資</t>
    <phoneticPr fontId="2" type="noConversion"/>
  </si>
  <si>
    <t>1Hp抽水馬達(含施工+材料)</t>
    <phoneticPr fontId="2" type="noConversion"/>
  </si>
  <si>
    <t>台照</t>
    <phoneticPr fontId="2" type="noConversion"/>
  </si>
  <si>
    <t>中華民國  112 年    1 月 10  日</t>
    <phoneticPr fontId="2" type="noConversion"/>
  </si>
  <si>
    <t>邱顧問</t>
    <phoneticPr fontId="2" type="noConversion"/>
  </si>
  <si>
    <t>阿華家</t>
  </si>
  <si>
    <t>致鳴(工廠)</t>
    <phoneticPr fontId="2" type="noConversion"/>
  </si>
  <si>
    <t>中華民國  112 年    1 月 5  日</t>
    <phoneticPr fontId="2" type="noConversion"/>
  </si>
  <si>
    <t>2.0平方電線</t>
    <phoneticPr fontId="2" type="noConversion"/>
  </si>
  <si>
    <t>太平洋</t>
    <phoneticPr fontId="2" type="noConversion"/>
  </si>
  <si>
    <t>1.6*mm平方電線</t>
    <phoneticPr fontId="2" type="noConversion"/>
  </si>
  <si>
    <t>單位</t>
    <phoneticPr fontId="2" type="noConversion"/>
  </si>
  <si>
    <t>丸</t>
    <phoneticPr fontId="2" type="noConversion"/>
  </si>
  <si>
    <t>5.5mm平方電線</t>
    <phoneticPr fontId="2" type="noConversion"/>
  </si>
  <si>
    <t>1.6白扁線</t>
    <phoneticPr fontId="2" type="noConversion"/>
  </si>
  <si>
    <t>大山</t>
    <phoneticPr fontId="2" type="noConversion"/>
  </si>
  <si>
    <t>830*20公分BOX</t>
    <phoneticPr fontId="2" type="noConversion"/>
  </si>
  <si>
    <t>接線盒</t>
    <phoneticPr fontId="2" type="noConversion"/>
  </si>
  <si>
    <t>只</t>
    <phoneticPr fontId="2" type="noConversion"/>
  </si>
  <si>
    <t>1P*2洞附接地插座開關</t>
    <phoneticPr fontId="2" type="noConversion"/>
  </si>
  <si>
    <t>國際</t>
    <phoneticPr fontId="2" type="noConversion"/>
  </si>
  <si>
    <t>3切開關(星光)</t>
    <phoneticPr fontId="2" type="noConversion"/>
  </si>
  <si>
    <t>2切開關(星光)</t>
    <phoneticPr fontId="2" type="noConversion"/>
  </si>
  <si>
    <t>1切1開關(星光)</t>
    <phoneticPr fontId="2" type="noConversion"/>
  </si>
  <si>
    <t>單插座</t>
    <phoneticPr fontId="2" type="noConversion"/>
  </si>
  <si>
    <t>ST*1/2壓接管</t>
    <phoneticPr fontId="2" type="noConversion"/>
  </si>
  <si>
    <t>支</t>
    <phoneticPr fontId="2" type="noConversion"/>
  </si>
  <si>
    <t>支</t>
    <phoneticPr fontId="2" type="noConversion"/>
  </si>
  <si>
    <t>1/2*壓接灣頭</t>
    <phoneticPr fontId="2" type="noConversion"/>
  </si>
  <si>
    <t>1/3*壓接灣頭內牙</t>
    <phoneticPr fontId="2" type="noConversion"/>
  </si>
  <si>
    <t>1/2*壓接外牙</t>
    <phoneticPr fontId="2" type="noConversion"/>
  </si>
  <si>
    <t>自由栓龍頭</t>
    <phoneticPr fontId="2" type="noConversion"/>
  </si>
  <si>
    <t>1/2*3.0南亞管</t>
    <phoneticPr fontId="2" type="noConversion"/>
  </si>
  <si>
    <t>三角內切</t>
    <phoneticPr fontId="2" type="noConversion"/>
  </si>
  <si>
    <t>1/2*灣頭內牙</t>
    <phoneticPr fontId="2" type="noConversion"/>
  </si>
  <si>
    <t>2尺高壓軟管</t>
    <phoneticPr fontId="2" type="noConversion"/>
  </si>
  <si>
    <t>工資</t>
    <phoneticPr fontId="2" type="noConversion"/>
  </si>
  <si>
    <t>條</t>
    <phoneticPr fontId="2" type="noConversion"/>
  </si>
  <si>
    <t>式</t>
    <phoneticPr fontId="2" type="noConversion"/>
  </si>
  <si>
    <t>式</t>
    <phoneticPr fontId="2" type="noConversion"/>
  </si>
  <si>
    <t>組</t>
    <phoneticPr fontId="2" type="noConversion"/>
  </si>
  <si>
    <t>ST*1½法蘭片</t>
    <phoneticPr fontId="2" type="noConversion"/>
  </si>
  <si>
    <t>1½防震軟管</t>
    <phoneticPr fontId="2" type="noConversion"/>
  </si>
  <si>
    <t>只</t>
    <phoneticPr fontId="2" type="noConversion"/>
  </si>
  <si>
    <t>ST*1½牙口灣頭</t>
    <phoneticPr fontId="2" type="noConversion"/>
  </si>
  <si>
    <t>零星材料</t>
    <phoneticPr fontId="2" type="noConversion"/>
  </si>
  <si>
    <t>工資</t>
    <phoneticPr fontId="2" type="noConversion"/>
  </si>
  <si>
    <t>4尺*雙管燈組</t>
    <phoneticPr fontId="2" type="noConversion"/>
  </si>
  <si>
    <t>美術燈4尺雙管LED燈組</t>
    <phoneticPr fontId="2" type="noConversion"/>
  </si>
  <si>
    <t>½*3.0南亞水管</t>
    <phoneticPr fontId="2" type="noConversion"/>
  </si>
  <si>
    <t>½*彎管內牙</t>
    <phoneticPr fontId="2" type="noConversion"/>
  </si>
  <si>
    <t>配管零料</t>
    <phoneticPr fontId="2" type="noConversion"/>
  </si>
  <si>
    <t>1P*30A無熔絲開關</t>
    <phoneticPr fontId="2" type="noConversion"/>
  </si>
  <si>
    <t>2P*30A無熔絲開關</t>
    <phoneticPr fontId="2" type="noConversion"/>
  </si>
  <si>
    <t>220V插座</t>
    <phoneticPr fontId="2" type="noConversion"/>
  </si>
  <si>
    <t>1.6*白扁線*1.6電線</t>
    <phoneticPr fontId="2" type="noConversion"/>
  </si>
  <si>
    <t>單插座+面板</t>
    <phoneticPr fontId="2" type="noConversion"/>
  </si>
  <si>
    <t>(拉線補電源插座)</t>
    <phoneticPr fontId="2" type="noConversion"/>
  </si>
  <si>
    <t>工資(含打鑿+水泥)</t>
    <phoneticPr fontId="2" type="noConversion"/>
  </si>
  <si>
    <t>以上不含稅</t>
    <phoneticPr fontId="2" type="noConversion"/>
  </si>
  <si>
    <t>鴻儀(家)</t>
    <phoneticPr fontId="2" type="noConversion"/>
  </si>
  <si>
    <t>20加侖電熱水器</t>
    <phoneticPr fontId="2" type="noConversion"/>
  </si>
  <si>
    <t>電光</t>
    <phoneticPr fontId="2" type="noConversion"/>
  </si>
  <si>
    <t>台</t>
    <phoneticPr fontId="2" type="noConversion"/>
  </si>
  <si>
    <t>5.5*3C電纜</t>
    <phoneticPr fontId="2" type="noConversion"/>
  </si>
  <si>
    <t>米</t>
    <phoneticPr fontId="2" type="noConversion"/>
  </si>
  <si>
    <t>¾*3尺高壓軟管</t>
    <phoneticPr fontId="2" type="noConversion"/>
  </si>
  <si>
    <t>條</t>
    <phoneticPr fontId="2" type="noConversion"/>
  </si>
  <si>
    <t>工資</t>
    <phoneticPr fontId="2" type="noConversion"/>
  </si>
  <si>
    <t>式</t>
    <phoneticPr fontId="2" type="noConversion"/>
  </si>
  <si>
    <t>5%營業稅</t>
    <phoneticPr fontId="2" type="noConversion"/>
  </si>
  <si>
    <t>小歐(東義路)</t>
    <phoneticPr fontId="2" type="noConversion"/>
  </si>
  <si>
    <t>2.0*太平洋電線</t>
    <phoneticPr fontId="2" type="noConversion"/>
  </si>
  <si>
    <t>丸</t>
    <phoneticPr fontId="2" type="noConversion"/>
  </si>
  <si>
    <t>4尺LED雙管日光燈組</t>
    <phoneticPr fontId="2" type="noConversion"/>
  </si>
  <si>
    <t>組</t>
    <phoneticPr fontId="2" type="noConversion"/>
  </si>
  <si>
    <t>1/2*2.0南亞電管</t>
    <phoneticPr fontId="2" type="noConversion"/>
  </si>
  <si>
    <t>支</t>
    <phoneticPr fontId="2" type="noConversion"/>
  </si>
  <si>
    <t>1/2*CD管</t>
    <phoneticPr fontId="2" type="noConversion"/>
  </si>
  <si>
    <t>1P*2洞附插座</t>
    <phoneticPr fontId="2" type="noConversion"/>
  </si>
  <si>
    <t>單插座</t>
    <phoneticPr fontId="2" type="noConversion"/>
  </si>
  <si>
    <t>單開關</t>
    <phoneticPr fontId="2" type="noConversion"/>
  </si>
  <si>
    <t>各</t>
    <phoneticPr fontId="2" type="noConversion"/>
  </si>
  <si>
    <t>2P面板</t>
    <phoneticPr fontId="2" type="noConversion"/>
  </si>
  <si>
    <t>電動門遙控器組</t>
    <phoneticPr fontId="2" type="noConversion"/>
  </si>
  <si>
    <t>水龍頭</t>
    <phoneticPr fontId="2" type="noConversion"/>
  </si>
  <si>
    <t>馬桶蓋</t>
    <phoneticPr fontId="2" type="noConversion"/>
  </si>
  <si>
    <t>臉盆排水組</t>
    <phoneticPr fontId="2" type="noConversion"/>
  </si>
  <si>
    <t>配管安裝工資</t>
    <phoneticPr fontId="2" type="noConversion"/>
  </si>
  <si>
    <t>式</t>
    <phoneticPr fontId="2" type="noConversion"/>
  </si>
  <si>
    <t>以上不含稅金</t>
    <phoneticPr fontId="2" type="noConversion"/>
  </si>
  <si>
    <t>中華民國  112 年    1 月 19  日</t>
    <phoneticPr fontId="2" type="noConversion"/>
  </si>
  <si>
    <t>小耿學長</t>
    <phoneticPr fontId="2" type="noConversion"/>
  </si>
  <si>
    <t>中華民國  112 年   2月 21  日</t>
    <phoneticPr fontId="2" type="noConversion"/>
  </si>
  <si>
    <t>一樓電源更新工程</t>
    <phoneticPr fontId="2" type="noConversion"/>
  </si>
  <si>
    <t>式</t>
    <phoneticPr fontId="2" type="noConversion"/>
  </si>
  <si>
    <t>5.5平方*電源</t>
    <phoneticPr fontId="2" type="noConversion"/>
  </si>
  <si>
    <t>220V</t>
    <phoneticPr fontId="2" type="noConversion"/>
  </si>
  <si>
    <t>2.0平方*電線*電源</t>
    <phoneticPr fontId="2" type="noConversion"/>
  </si>
  <si>
    <t>星光(國際)開關插座</t>
    <phoneticPr fontId="2" type="noConversion"/>
  </si>
  <si>
    <t>通信、網絡插座更新</t>
    <phoneticPr fontId="2" type="noConversion"/>
  </si>
  <si>
    <t>打鑿、配管工資</t>
    <phoneticPr fontId="2" type="noConversion"/>
  </si>
  <si>
    <t>1.6平方*電線控制電燈</t>
    <phoneticPr fontId="2" type="noConversion"/>
  </si>
  <si>
    <t>中華民國  112 年  3 月 29 日</t>
    <phoneticPr fontId="2" type="noConversion"/>
  </si>
  <si>
    <t>華新</t>
    <phoneticPr fontId="2" type="noConversion"/>
  </si>
  <si>
    <t>250平方*電線</t>
    <phoneticPr fontId="2" type="noConversion"/>
  </si>
  <si>
    <r>
      <t>200平方*電線*</t>
    </r>
    <r>
      <rPr>
        <sz val="22"/>
        <rFont val="新細明體"/>
        <family val="1"/>
        <charset val="136"/>
      </rPr>
      <t>LPE</t>
    </r>
    <phoneticPr fontId="2" type="noConversion"/>
  </si>
  <si>
    <t>300公分*30公分*10公分綜槽</t>
    <phoneticPr fontId="2" type="noConversion"/>
  </si>
  <si>
    <t>90度*30公分*10公分灣頭</t>
    <phoneticPr fontId="2" type="noConversion"/>
  </si>
  <si>
    <t>項目</t>
    <phoneticPr fontId="2" type="noConversion"/>
  </si>
  <si>
    <t>250端子</t>
    <phoneticPr fontId="2" type="noConversion"/>
  </si>
  <si>
    <t>200平方端子</t>
    <phoneticPr fontId="2" type="noConversion"/>
  </si>
  <si>
    <t>30平方*綠色*接地</t>
    <phoneticPr fontId="2" type="noConversion"/>
  </si>
  <si>
    <t>3分牙條</t>
    <phoneticPr fontId="2" type="noConversion"/>
  </si>
  <si>
    <t>C型鋼</t>
    <phoneticPr fontId="2" type="noConversion"/>
  </si>
  <si>
    <t>ST*角鐵</t>
    <phoneticPr fontId="2" type="noConversion"/>
  </si>
  <si>
    <t>五金另料</t>
    <phoneticPr fontId="2" type="noConversion"/>
  </si>
  <si>
    <t>工資</t>
    <phoneticPr fontId="2" type="noConversion"/>
  </si>
  <si>
    <t>稅金</t>
    <phoneticPr fontId="2" type="noConversion"/>
  </si>
  <si>
    <t>米</t>
    <phoneticPr fontId="2" type="noConversion"/>
  </si>
  <si>
    <t>只</t>
    <phoneticPr fontId="2" type="noConversion"/>
  </si>
  <si>
    <t>組</t>
    <phoneticPr fontId="2" type="noConversion"/>
  </si>
  <si>
    <t>支</t>
    <phoneticPr fontId="2" type="noConversion"/>
  </si>
  <si>
    <t>式</t>
    <phoneticPr fontId="2" type="noConversion"/>
  </si>
  <si>
    <t>中華民國  112 年 4月 7日</t>
    <phoneticPr fontId="2" type="noConversion"/>
  </si>
  <si>
    <t>建宏車業</t>
    <phoneticPr fontId="2" type="noConversion"/>
  </si>
  <si>
    <t>ST開關箱更新工程</t>
    <phoneticPr fontId="2" type="noConversion"/>
  </si>
  <si>
    <t>ST開關箱、無熔絲開關、打鑿、水泥工資</t>
    <phoneticPr fontId="2" type="noConversion"/>
  </si>
  <si>
    <t>管路打鑿工資</t>
    <phoneticPr fontId="2" type="noConversion"/>
  </si>
  <si>
    <t>15公分坎燈（LED)</t>
    <phoneticPr fontId="2" type="noConversion"/>
  </si>
  <si>
    <t>9公分坎燈（LED)</t>
    <phoneticPr fontId="2" type="noConversion"/>
  </si>
  <si>
    <t>室內配管、配線、開關插座材料工資</t>
    <phoneticPr fontId="2" type="noConversion"/>
  </si>
  <si>
    <t>不含稅、以下空白</t>
    <phoneticPr fontId="2" type="noConversion"/>
  </si>
  <si>
    <t>天</t>
    <phoneticPr fontId="2" type="noConversion"/>
  </si>
  <si>
    <t>雜支（保險、零星另料、器材耗損）</t>
    <phoneticPr fontId="2" type="noConversion"/>
  </si>
  <si>
    <t>備註：</t>
    <phoneticPr fontId="2" type="noConversion"/>
  </si>
  <si>
    <t>1.本估價單有效期間 20  天</t>
    <phoneticPr fontId="2" type="noConversion"/>
  </si>
  <si>
    <t>2.如蒙惠雇請先付訂金  3    成</t>
    <phoneticPr fontId="2" type="noConversion"/>
  </si>
  <si>
    <r>
      <t xml:space="preserve">綠島               </t>
    </r>
    <r>
      <rPr>
        <b/>
        <sz val="22"/>
        <color theme="1"/>
        <rFont val="微軟正黑體"/>
        <family val="2"/>
        <charset val="136"/>
      </rPr>
      <t>台照</t>
    </r>
    <phoneticPr fontId="2" type="noConversion"/>
  </si>
  <si>
    <t>以下空白</t>
    <phoneticPr fontId="2" type="noConversion"/>
  </si>
  <si>
    <t>4人離島工資(1人4000)=16000</t>
    <phoneticPr fontId="2" type="noConversion"/>
  </si>
  <si>
    <t>餐飲費：三餐＋茶水（1人天500元*4人=2000）</t>
    <phoneticPr fontId="2" type="noConversion"/>
  </si>
  <si>
    <t>以上估價不含材料、不含住宿、不含稅</t>
    <phoneticPr fontId="2" type="noConversion"/>
  </si>
  <si>
    <t>預估4趟</t>
    <phoneticPr fontId="2" type="noConversion"/>
  </si>
  <si>
    <t>來回車資（本島油資8000＋船票4500+過路及停車費1500=14000)</t>
    <phoneticPr fontId="2" type="noConversion"/>
  </si>
  <si>
    <t>趟</t>
    <phoneticPr fontId="2" type="noConversion"/>
  </si>
  <si>
    <t>ST＊角鋼（雙孔）</t>
    <phoneticPr fontId="2" type="noConversion"/>
  </si>
  <si>
    <t>3.5*3C電纜</t>
    <phoneticPr fontId="2" type="noConversion"/>
  </si>
  <si>
    <t>2P*20無熔絲開關</t>
    <phoneticPr fontId="2" type="noConversion"/>
  </si>
  <si>
    <t>2P*30無熔絲開關</t>
    <phoneticPr fontId="2" type="noConversion"/>
  </si>
  <si>
    <t>ST壁虎3/8</t>
    <phoneticPr fontId="2" type="noConversion"/>
  </si>
  <si>
    <t>螺絲＊螺鉧</t>
    <phoneticPr fontId="2" type="noConversion"/>
  </si>
  <si>
    <t>陶瓷水龍頭</t>
    <phoneticPr fontId="2" type="noConversion"/>
  </si>
  <si>
    <t>ST＊C型鋼（有孔）</t>
    <phoneticPr fontId="2" type="noConversion"/>
  </si>
  <si>
    <t>工資(零星材料）</t>
    <phoneticPr fontId="2" type="noConversion"/>
  </si>
  <si>
    <t>中華民國  112 年 4月 17 日</t>
    <phoneticPr fontId="2" type="noConversion"/>
  </si>
  <si>
    <t>蕭小姐</t>
    <phoneticPr fontId="2" type="noConversion"/>
  </si>
  <si>
    <t>日日好農有限公司</t>
    <phoneticPr fontId="2" type="noConversion"/>
  </si>
  <si>
    <t>鄭小姐（追加）</t>
    <phoneticPr fontId="2" type="noConversion"/>
  </si>
  <si>
    <t>水錶入室內抽水馬達進水管工程</t>
    <phoneticPr fontId="2" type="noConversion"/>
  </si>
  <si>
    <t>3/4pvc南亞水管，ST3/4白鐵管</t>
    <phoneticPr fontId="2" type="noConversion"/>
  </si>
  <si>
    <t>打鑿與配管工資，零星材料</t>
    <phoneticPr fontId="2" type="noConversion"/>
  </si>
  <si>
    <t>一二樓匯流排開關箱，打鑿更新工資</t>
    <phoneticPr fontId="2" type="noConversion"/>
  </si>
  <si>
    <t>中華民國  112 年 4月 18 日</t>
    <phoneticPr fontId="2" type="noConversion"/>
  </si>
  <si>
    <t>蔡先生</t>
    <phoneticPr fontId="2" type="noConversion"/>
  </si>
  <si>
    <t>室內配線（2.0、1.6電線、2.0白扁線）</t>
    <phoneticPr fontId="2" type="noConversion"/>
  </si>
  <si>
    <t>網路線</t>
    <phoneticPr fontId="2" type="noConversion"/>
  </si>
  <si>
    <t>車庫電燈配管配線</t>
    <phoneticPr fontId="2" type="noConversion"/>
  </si>
  <si>
    <t>插座、開關、零星材料</t>
    <phoneticPr fontId="2" type="noConversion"/>
  </si>
  <si>
    <t>打鑿、配管、配管材料、工資</t>
    <phoneticPr fontId="2" type="noConversion"/>
  </si>
  <si>
    <t>蔡先生(冷氣排水配管追加工程）</t>
    <phoneticPr fontId="2" type="noConversion"/>
  </si>
  <si>
    <t>八寶寮</t>
    <phoneticPr fontId="2" type="noConversion"/>
  </si>
  <si>
    <t>ABS管材</t>
    <phoneticPr fontId="2" type="noConversion"/>
  </si>
  <si>
    <t>配管材料</t>
    <phoneticPr fontId="2" type="noConversion"/>
  </si>
  <si>
    <t>清洗SPA池工資</t>
    <phoneticPr fontId="2" type="noConversion"/>
  </si>
  <si>
    <t>捌仟伍佰元整</t>
    <phoneticPr fontId="2" type="noConversion"/>
  </si>
  <si>
    <t>中華民國  112 年 5月 10 日</t>
    <phoneticPr fontId="2" type="noConversion"/>
  </si>
  <si>
    <t>三相(相位保護器)</t>
    <phoneticPr fontId="2" type="noConversion"/>
  </si>
  <si>
    <t>組</t>
    <phoneticPr fontId="2" type="noConversion"/>
  </si>
  <si>
    <t>以上含工資</t>
    <phoneticPr fontId="2" type="noConversion"/>
  </si>
  <si>
    <t>參仟伍佰元整</t>
    <phoneticPr fontId="2" type="noConversion"/>
  </si>
  <si>
    <t>黃顧問</t>
    <phoneticPr fontId="2" type="noConversion"/>
  </si>
  <si>
    <t>中華民國  112 年6月 5 日</t>
    <phoneticPr fontId="2" type="noConversion"/>
  </si>
  <si>
    <t>中華民國  112 年6月 5日</t>
    <phoneticPr fontId="2" type="noConversion"/>
  </si>
  <si>
    <t>延平街通水管</t>
    <phoneticPr fontId="2" type="noConversion"/>
  </si>
  <si>
    <t>式</t>
    <phoneticPr fontId="2" type="noConversion"/>
  </si>
  <si>
    <t>林森路修理工資</t>
    <phoneticPr fontId="2" type="noConversion"/>
  </si>
  <si>
    <t>壹仟陸佰元整</t>
    <phoneticPr fontId="2" type="noConversion"/>
  </si>
  <si>
    <t>蘇學長</t>
    <phoneticPr fontId="2" type="noConversion"/>
  </si>
  <si>
    <t>220V專用電源工程</t>
    <phoneticPr fontId="2" type="noConversion"/>
  </si>
  <si>
    <t>5.5電線、220專用插座</t>
    <phoneticPr fontId="2" type="noConversion"/>
  </si>
  <si>
    <t>工資</t>
    <phoneticPr fontId="2" type="noConversion"/>
  </si>
  <si>
    <t>2P*30A無熔絲開關</t>
    <phoneticPr fontId="2" type="noConversion"/>
  </si>
  <si>
    <t>中華民國  112 年 6 月 7 日</t>
    <phoneticPr fontId="2" type="noConversion"/>
  </si>
  <si>
    <t>伍仟元整</t>
    <phoneticPr fontId="2" type="noConversion"/>
  </si>
  <si>
    <t>湯顧問</t>
    <phoneticPr fontId="2" type="noConversion"/>
  </si>
  <si>
    <t>中華民國  112 年 6 月 8 日</t>
    <phoneticPr fontId="2" type="noConversion"/>
  </si>
  <si>
    <t>4''x3.0南亞排水管</t>
    <phoneticPr fontId="2" type="noConversion"/>
  </si>
  <si>
    <t>2''x2.0南亞排水管</t>
    <phoneticPr fontId="2" type="noConversion"/>
  </si>
  <si>
    <t>4''x斜三通</t>
    <phoneticPr fontId="2" type="noConversion"/>
  </si>
  <si>
    <t>4''x90º彎頭</t>
    <phoneticPr fontId="2" type="noConversion"/>
  </si>
  <si>
    <t>4''x91º彎頭</t>
  </si>
  <si>
    <t>新台幣</t>
    <phoneticPr fontId="2" type="noConversion"/>
  </si>
  <si>
    <t>蔡同學</t>
    <phoneticPr fontId="2" type="noConversion"/>
  </si>
  <si>
    <t>一樓浴櫃安裝工資</t>
    <phoneticPr fontId="2" type="noConversion"/>
  </si>
  <si>
    <t>2樓陽台、插座、水龍頭安裝工程</t>
    <phoneticPr fontId="2" type="noConversion"/>
  </si>
  <si>
    <t>2.0電線X6電線</t>
    <phoneticPr fontId="2" type="noConversion"/>
  </si>
  <si>
    <t>1P2洞附接地插座</t>
    <phoneticPr fontId="2" type="noConversion"/>
  </si>
  <si>
    <t>配線材料</t>
    <phoneticPr fontId="2" type="noConversion"/>
  </si>
  <si>
    <t>中華民國  112 年 6 月 19 日</t>
    <phoneticPr fontId="2" type="noConversion"/>
  </si>
  <si>
    <t>怡心16加侖橫式電熱水器</t>
    <phoneticPr fontId="2" type="noConversion"/>
  </si>
  <si>
    <t>打鑿工資(含清理）</t>
    <phoneticPr fontId="2" type="noConversion"/>
  </si>
  <si>
    <t>給水、冷熱水配管</t>
    <phoneticPr fontId="2" type="noConversion"/>
  </si>
  <si>
    <t>2尺x排水板</t>
    <phoneticPr fontId="2" type="noConversion"/>
  </si>
  <si>
    <t>蓮蓬頭組</t>
    <phoneticPr fontId="2" type="noConversion"/>
  </si>
  <si>
    <t>洗洞</t>
    <phoneticPr fontId="2" type="noConversion"/>
  </si>
  <si>
    <t>鄭小姐(追加工程)</t>
    <phoneticPr fontId="2" type="noConversion"/>
  </si>
  <si>
    <t>落電箱工程</t>
    <phoneticPr fontId="2" type="noConversion"/>
  </si>
  <si>
    <t>式</t>
    <phoneticPr fontId="2" type="noConversion"/>
  </si>
  <si>
    <t>通信箱安裝材料</t>
    <phoneticPr fontId="2" type="noConversion"/>
  </si>
  <si>
    <t>組</t>
    <phoneticPr fontId="2" type="noConversion"/>
  </si>
  <si>
    <t>配管</t>
    <phoneticPr fontId="2" type="noConversion"/>
  </si>
  <si>
    <t>8P8C網路線</t>
    <phoneticPr fontId="2" type="noConversion"/>
  </si>
  <si>
    <t>電視線</t>
    <phoneticPr fontId="2" type="noConversion"/>
  </si>
  <si>
    <t>工資</t>
    <phoneticPr fontId="2" type="noConversion"/>
  </si>
  <si>
    <t>電表外移工作</t>
    <phoneticPr fontId="2" type="noConversion"/>
  </si>
  <si>
    <t>配管材料</t>
    <phoneticPr fontId="2" type="noConversion"/>
  </si>
  <si>
    <t>打鑿工資</t>
    <phoneticPr fontId="2" type="noConversion"/>
  </si>
  <si>
    <t>線材</t>
    <phoneticPr fontId="2" type="noConversion"/>
  </si>
  <si>
    <t>工資</t>
    <phoneticPr fontId="2" type="noConversion"/>
  </si>
  <si>
    <t>以上不含稅金，以下空白。</t>
    <phoneticPr fontId="2" type="noConversion"/>
  </si>
  <si>
    <t>中華民國  112 年  7 月15日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</si>
</sst>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#######_-;\-* #,##0.######_-;_-* &quot;-&quot;_-;_-@_-"/>
    <numFmt numFmtId="177" formatCode="[DBNum2][$-404]General&quot;元&quot;&quot;整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微軟正黑體"/>
      <family val="2"/>
      <charset val="136"/>
    </font>
    <font>
      <b/>
      <sz val="20"/>
      <color indexed="18"/>
      <name val="微軟正黑體"/>
      <family val="2"/>
      <charset val="136"/>
    </font>
    <font>
      <sz val="20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36"/>
      <color theme="1"/>
      <name val="微軟正黑體"/>
      <family val="2"/>
      <charset val="136"/>
    </font>
    <font>
      <sz val="22"/>
      <color theme="1"/>
      <name val="新細明體"/>
      <family val="2"/>
      <charset val="136"/>
      <scheme val="minor"/>
    </font>
    <font>
      <b/>
      <sz val="50"/>
      <color theme="1"/>
      <name val="微軟正黑體"/>
      <family val="2"/>
      <charset val="136"/>
    </font>
    <font>
      <sz val="24"/>
      <color theme="1"/>
      <name val="微軟正黑體"/>
      <family val="2"/>
      <charset val="136"/>
    </font>
    <font>
      <sz val="36"/>
      <color theme="1"/>
      <name val="微軟正黑體"/>
      <family val="2"/>
      <charset val="136"/>
    </font>
    <font>
      <sz val="20"/>
      <name val="新細明體"/>
      <family val="1"/>
      <charset val="136"/>
    </font>
    <font>
      <sz val="22"/>
      <name val="新細明體"/>
      <family val="1"/>
      <charset val="136"/>
    </font>
    <font>
      <sz val="24"/>
      <color rgb="FFFF0000"/>
      <name val="微軟正黑體"/>
      <family val="2"/>
      <charset val="136"/>
    </font>
    <font>
      <sz val="24"/>
      <name val="微軟正黑體"/>
      <family val="2"/>
      <charset val="136"/>
    </font>
    <font>
      <sz val="24"/>
      <color theme="1"/>
      <name val="新細明體"/>
      <family val="2"/>
      <charset val="136"/>
      <scheme val="minor"/>
    </font>
    <font>
      <sz val="24"/>
      <color rgb="FF002060"/>
      <name val="微軟正黑體"/>
      <family val="2"/>
      <charset val="136"/>
    </font>
    <font>
      <b/>
      <sz val="24"/>
      <color indexed="18"/>
      <name val="微軟正黑體"/>
      <family val="2"/>
      <charset val="136"/>
    </font>
    <font>
      <b/>
      <sz val="48"/>
      <color theme="1"/>
      <name val="微軟正黑體"/>
      <family val="2"/>
      <charset val="136"/>
    </font>
    <font>
      <sz val="48"/>
      <color theme="1"/>
      <name val="微軟正黑體"/>
      <family val="2"/>
      <charset val="136"/>
    </font>
    <font>
      <sz val="28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48"/>
      <color theme="1"/>
      <name val="仿宋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41" fontId="4" fillId="0" borderId="3" xfId="1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41" fontId="4" fillId="0" borderId="5" xfId="1" applyFont="1" applyFill="1" applyBorder="1" applyAlignment="1" applyProtection="1">
      <alignment horizontal="center" vertical="center"/>
      <protection locked="0"/>
    </xf>
    <xf numFmtId="0" fontId="5" fillId="0" borderId="6" xfId="0" applyFont="1" applyFill="1" applyBorder="1" applyAlignment="1" applyProtection="1">
      <alignment vertical="center" wrapText="1"/>
      <protection locked="0"/>
    </xf>
    <xf numFmtId="0" fontId="5" fillId="0" borderId="7" xfId="0" applyFont="1" applyFill="1" applyBorder="1" applyAlignment="1" applyProtection="1">
      <alignment vertical="center" wrapText="1"/>
      <protection locked="0"/>
    </xf>
    <xf numFmtId="176" fontId="5" fillId="0" borderId="7" xfId="1" applyNumberFormat="1" applyFont="1" applyFill="1" applyBorder="1" applyAlignment="1" applyProtection="1">
      <alignment horizontal="right" vertical="center"/>
      <protection locked="0"/>
    </xf>
    <xf numFmtId="176" fontId="5" fillId="0" borderId="8" xfId="1" applyNumberFormat="1" applyFont="1" applyFill="1" applyBorder="1" applyAlignment="1" applyProtection="1">
      <alignment horizontal="right" vertical="center"/>
      <protection locked="0"/>
    </xf>
    <xf numFmtId="176" fontId="3" fillId="2" borderId="9" xfId="1" applyNumberFormat="1" applyFont="1" applyFill="1" applyBorder="1" applyAlignment="1" applyProtection="1">
      <alignment horizontal="right" vertical="center"/>
    </xf>
    <xf numFmtId="0" fontId="3" fillId="0" borderId="10" xfId="0" applyFont="1" applyFill="1" applyBorder="1" applyAlignment="1" applyProtection="1">
      <alignment vertical="center"/>
      <protection locked="0"/>
    </xf>
    <xf numFmtId="0" fontId="4" fillId="0" borderId="14" xfId="0" applyFont="1" applyFill="1" applyBorder="1" applyAlignment="1" applyProtection="1">
      <alignment horizontal="distributed" vertical="center" justifyLastLine="1"/>
      <protection locked="0"/>
    </xf>
    <xf numFmtId="0" fontId="4" fillId="0" borderId="11" xfId="0" applyFont="1" applyFill="1" applyBorder="1" applyAlignment="1" applyProtection="1">
      <alignment horizontal="distributed" vertical="center" justifyLastLine="1"/>
      <protection locked="0"/>
    </xf>
    <xf numFmtId="177" fontId="3" fillId="2" borderId="13" xfId="1" applyNumberFormat="1" applyFont="1" applyFill="1" applyBorder="1" applyAlignment="1" applyProtection="1">
      <alignment horizontal="left" vertical="center"/>
    </xf>
    <xf numFmtId="177" fontId="3" fillId="2" borderId="11" xfId="0" applyNumberFormat="1" applyFont="1" applyFill="1" applyBorder="1" applyAlignment="1" applyProtection="1">
      <alignment horizontal="left" vertical="center"/>
    </xf>
    <xf numFmtId="38" fontId="3" fillId="2" borderId="11" xfId="0" applyNumberFormat="1" applyFont="1" applyFill="1" applyBorder="1" applyAlignment="1" applyProtection="1">
      <alignment horizontal="right" vertical="center"/>
    </xf>
    <xf numFmtId="177" fontId="3" fillId="2" borderId="12" xfId="0" applyNumberFormat="1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7" fillId="0" borderId="0" xfId="0" applyFont="1">
      <alignment vertical="center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5" fillId="0" borderId="16" xfId="0" applyFont="1" applyFill="1" applyBorder="1" applyAlignment="1" applyProtection="1">
      <alignment vertical="center" wrapText="1"/>
      <protection locked="0"/>
    </xf>
    <xf numFmtId="0" fontId="4" fillId="0" borderId="17" xfId="0" applyFont="1" applyFill="1" applyBorder="1" applyAlignment="1" applyProtection="1">
      <alignment horizontal="distributed" vertical="center" justifyLastLine="1"/>
      <protection locked="0"/>
    </xf>
    <xf numFmtId="0" fontId="5" fillId="0" borderId="18" xfId="0" applyFont="1" applyFill="1" applyBorder="1" applyAlignment="1" applyProtection="1">
      <alignment vertical="center" wrapText="1"/>
      <protection locked="0"/>
    </xf>
    <xf numFmtId="176" fontId="5" fillId="0" borderId="19" xfId="1" applyNumberFormat="1" applyFont="1" applyFill="1" applyBorder="1" applyAlignment="1" applyProtection="1">
      <alignment horizontal="right" vertical="center"/>
      <protection locked="0"/>
    </xf>
    <xf numFmtId="176" fontId="3" fillId="2" borderId="20" xfId="1" applyNumberFormat="1" applyFont="1" applyFill="1" applyBorder="1" applyAlignment="1" applyProtection="1">
      <alignment horizontal="right" vertical="center"/>
    </xf>
    <xf numFmtId="0" fontId="3" fillId="0" borderId="21" xfId="0" applyFont="1" applyFill="1" applyBorder="1" applyAlignment="1" applyProtection="1">
      <alignment vertical="center"/>
      <protection locked="0"/>
    </xf>
    <xf numFmtId="0" fontId="9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4" fillId="0" borderId="23" xfId="0" applyFont="1" applyFill="1" applyBorder="1" applyAlignment="1" applyProtection="1">
      <alignment horizontal="left" vertical="center" justifyLastLine="1"/>
      <protection locked="0"/>
    </xf>
    <xf numFmtId="177" fontId="3" fillId="2" borderId="23" xfId="0" applyNumberFormat="1" applyFont="1" applyFill="1" applyBorder="1" applyAlignment="1" applyProtection="1">
      <alignment horizontal="left" vertical="center"/>
    </xf>
    <xf numFmtId="38" fontId="3" fillId="2" borderId="23" xfId="0" applyNumberFormat="1" applyFont="1" applyFill="1" applyBorder="1" applyAlignment="1" applyProtection="1">
      <alignment horizontal="right" vertical="center"/>
    </xf>
    <xf numFmtId="176" fontId="3" fillId="2" borderId="7" xfId="1" applyNumberFormat="1" applyFont="1" applyFill="1" applyBorder="1" applyAlignment="1" applyProtection="1">
      <alignment horizontal="right" vertical="center"/>
    </xf>
    <xf numFmtId="177" fontId="3" fillId="2" borderId="25" xfId="0" applyNumberFormat="1" applyFont="1" applyFill="1" applyBorder="1" applyAlignment="1" applyProtection="1">
      <alignment horizontal="left" vertical="center"/>
    </xf>
    <xf numFmtId="0" fontId="5" fillId="0" borderId="27" xfId="0" applyFont="1" applyFill="1" applyBorder="1" applyAlignment="1" applyProtection="1">
      <alignment vertical="center" wrapText="1"/>
      <protection locked="0"/>
    </xf>
    <xf numFmtId="0" fontId="5" fillId="0" borderId="28" xfId="0" applyFont="1" applyFill="1" applyBorder="1" applyAlignment="1" applyProtection="1">
      <alignment vertical="center" wrapText="1"/>
      <protection locked="0"/>
    </xf>
    <xf numFmtId="176" fontId="5" fillId="0" borderId="26" xfId="1" applyNumberFormat="1" applyFont="1" applyFill="1" applyBorder="1" applyAlignment="1" applyProtection="1">
      <alignment horizontal="right" vertical="center"/>
      <protection locked="0"/>
    </xf>
    <xf numFmtId="176" fontId="3" fillId="2" borderId="29" xfId="1" applyNumberFormat="1" applyFont="1" applyFill="1" applyBorder="1" applyAlignment="1" applyProtection="1">
      <alignment horizontal="right" vertical="center"/>
    </xf>
    <xf numFmtId="0" fontId="0" fillId="0" borderId="31" xfId="0" applyBorder="1">
      <alignment vertical="center"/>
    </xf>
    <xf numFmtId="176" fontId="5" fillId="0" borderId="29" xfId="1" applyNumberFormat="1" applyFont="1" applyFill="1" applyBorder="1" applyAlignment="1" applyProtection="1">
      <alignment horizontal="right" vertical="center"/>
      <protection locked="0"/>
    </xf>
    <xf numFmtId="176" fontId="5" fillId="0" borderId="9" xfId="1" applyNumberFormat="1" applyFont="1" applyFill="1" applyBorder="1" applyAlignment="1" applyProtection="1">
      <alignment horizontal="right" vertical="center"/>
      <protection locked="0"/>
    </xf>
    <xf numFmtId="176" fontId="5" fillId="0" borderId="20" xfId="1" applyNumberFormat="1" applyFont="1" applyFill="1" applyBorder="1" applyAlignment="1" applyProtection="1">
      <alignment horizontal="right" vertical="center"/>
      <protection locked="0"/>
    </xf>
    <xf numFmtId="0" fontId="0" fillId="0" borderId="9" xfId="0" applyBorder="1">
      <alignment vertical="center"/>
    </xf>
    <xf numFmtId="0" fontId="0" fillId="0" borderId="32" xfId="0" applyBorder="1">
      <alignment vertical="center"/>
    </xf>
    <xf numFmtId="0" fontId="0" fillId="0" borderId="8" xfId="0" applyBorder="1">
      <alignment vertical="center"/>
    </xf>
    <xf numFmtId="0" fontId="0" fillId="0" borderId="30" xfId="0" applyBorder="1">
      <alignment vertical="center"/>
    </xf>
    <xf numFmtId="0" fontId="9" fillId="0" borderId="33" xfId="0" applyFont="1" applyBorder="1" applyAlignment="1">
      <alignment horizontal="center" vertical="center"/>
    </xf>
    <xf numFmtId="0" fontId="3" fillId="0" borderId="34" xfId="0" applyFont="1" applyFill="1" applyBorder="1" applyAlignment="1" applyProtection="1">
      <alignment vertical="center"/>
      <protection locked="0"/>
    </xf>
    <xf numFmtId="0" fontId="9" fillId="0" borderId="35" xfId="0" applyFont="1" applyBorder="1" applyAlignment="1">
      <alignment horizontal="center" vertical="center"/>
    </xf>
    <xf numFmtId="0" fontId="3" fillId="0" borderId="36" xfId="0" applyFont="1" applyFill="1" applyBorder="1" applyAlignment="1" applyProtection="1">
      <alignment vertical="center"/>
      <protection locked="0"/>
    </xf>
    <xf numFmtId="0" fontId="3" fillId="0" borderId="0" xfId="0" applyFont="1" applyBorder="1">
      <alignment vertical="center"/>
    </xf>
    <xf numFmtId="0" fontId="3" fillId="0" borderId="23" xfId="0" applyFont="1" applyBorder="1">
      <alignment vertical="center"/>
    </xf>
    <xf numFmtId="0" fontId="5" fillId="0" borderId="40" xfId="0" applyFont="1" applyFill="1" applyBorder="1" applyAlignment="1" applyProtection="1">
      <alignment vertical="center" wrapText="1"/>
      <protection locked="0"/>
    </xf>
    <xf numFmtId="176" fontId="5" fillId="0" borderId="28" xfId="1" applyNumberFormat="1" applyFont="1" applyFill="1" applyBorder="1" applyAlignment="1" applyProtection="1">
      <alignment horizontal="right" vertical="center"/>
      <protection locked="0"/>
    </xf>
    <xf numFmtId="176" fontId="5" fillId="0" borderId="31" xfId="1" applyNumberFormat="1" applyFont="1" applyFill="1" applyBorder="1" applyAlignment="1" applyProtection="1">
      <alignment horizontal="right" vertical="center"/>
      <protection locked="0"/>
    </xf>
    <xf numFmtId="0" fontId="5" fillId="0" borderId="33" xfId="0" applyFont="1" applyFill="1" applyBorder="1" applyAlignment="1" applyProtection="1">
      <alignment vertical="center" wrapText="1"/>
      <protection locked="0"/>
    </xf>
    <xf numFmtId="0" fontId="5" fillId="0" borderId="35" xfId="0" applyFont="1" applyFill="1" applyBorder="1" applyAlignment="1" applyProtection="1">
      <alignment vertical="center" wrapText="1"/>
      <protection locked="0"/>
    </xf>
    <xf numFmtId="41" fontId="4" fillId="0" borderId="2" xfId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 applyProtection="1">
      <alignment horizontal="distributed" vertical="center" justifyLastLine="1"/>
      <protection locked="0"/>
    </xf>
    <xf numFmtId="38" fontId="3" fillId="2" borderId="41" xfId="0" applyNumberFormat="1" applyFont="1" applyFill="1" applyBorder="1" applyAlignment="1" applyProtection="1">
      <alignment horizontal="right" vertical="center"/>
    </xf>
    <xf numFmtId="177" fontId="3" fillId="2" borderId="42" xfId="0" applyNumberFormat="1" applyFont="1" applyFill="1" applyBorder="1" applyAlignment="1" applyProtection="1">
      <alignment horizontal="left" vertical="center"/>
    </xf>
    <xf numFmtId="176" fontId="3" fillId="2" borderId="28" xfId="1" applyNumberFormat="1" applyFont="1" applyFill="1" applyBorder="1" applyAlignment="1" applyProtection="1">
      <alignment horizontal="right" vertical="center"/>
    </xf>
    <xf numFmtId="176" fontId="3" fillId="2" borderId="31" xfId="1" applyNumberFormat="1" applyFont="1" applyFill="1" applyBorder="1" applyAlignment="1" applyProtection="1">
      <alignment horizontal="right" vertical="center"/>
    </xf>
    <xf numFmtId="0" fontId="5" fillId="0" borderId="43" xfId="0" applyFont="1" applyFill="1" applyBorder="1" applyAlignment="1" applyProtection="1">
      <alignment vertical="center" wrapText="1"/>
      <protection locked="0"/>
    </xf>
    <xf numFmtId="177" fontId="3" fillId="2" borderId="4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3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3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3" fillId="0" borderId="6" xfId="0" applyFont="1" applyFill="1" applyBorder="1" applyAlignment="1" applyProtection="1">
      <alignment vertical="center" wrapText="1"/>
      <protection locked="0"/>
    </xf>
    <xf numFmtId="176" fontId="5" fillId="0" borderId="18" xfId="1" applyNumberFormat="1" applyFont="1" applyFill="1" applyBorder="1" applyAlignment="1" applyProtection="1">
      <alignment horizontal="right" vertical="center"/>
      <protection locked="0"/>
    </xf>
    <xf numFmtId="0" fontId="5" fillId="0" borderId="18" xfId="0" applyFont="1" applyFill="1" applyBorder="1" applyAlignment="1" applyProtection="1">
      <alignment horizontal="center" vertical="center" wrapText="1"/>
      <protection locked="0"/>
    </xf>
    <xf numFmtId="176" fontId="3" fillId="2" borderId="18" xfId="1" applyNumberFormat="1" applyFont="1" applyFill="1" applyBorder="1" applyAlignment="1" applyProtection="1">
      <alignment horizontal="right" vertical="center"/>
    </xf>
    <xf numFmtId="0" fontId="0" fillId="0" borderId="31" xfId="0" applyBorder="1" applyAlignment="1">
      <alignment horizontal="center" vertical="center"/>
    </xf>
    <xf numFmtId="0" fontId="5" fillId="0" borderId="46" xfId="0" applyFont="1" applyFill="1" applyBorder="1" applyAlignment="1" applyProtection="1">
      <alignment vertical="center" wrapText="1"/>
      <protection locked="0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7" xfId="0" applyFont="1" applyFill="1" applyBorder="1" applyAlignment="1" applyProtection="1">
      <alignment horizontal="center" vertical="center" wrapText="1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177" fontId="3" fillId="3" borderId="0" xfId="0" applyNumberFormat="1" applyFont="1" applyFill="1" applyBorder="1" applyAlignment="1" applyProtection="1">
      <alignment horizontal="left" vertical="center"/>
    </xf>
    <xf numFmtId="176" fontId="5" fillId="0" borderId="7" xfId="1" applyNumberFormat="1" applyFont="1" applyFill="1" applyBorder="1" applyAlignment="1" applyProtection="1">
      <alignment vertical="center"/>
      <protection locked="0"/>
    </xf>
    <xf numFmtId="0" fontId="4" fillId="0" borderId="48" xfId="0" applyFont="1" applyFill="1" applyBorder="1" applyAlignment="1" applyProtection="1">
      <alignment horizontal="distributed" vertical="center" justifyLastLine="1"/>
      <protection locked="0"/>
    </xf>
    <xf numFmtId="38" fontId="3" fillId="2" borderId="48" xfId="0" applyNumberFormat="1" applyFont="1" applyFill="1" applyBorder="1" applyAlignment="1" applyProtection="1">
      <alignment horizontal="right" vertical="center"/>
    </xf>
    <xf numFmtId="0" fontId="9" fillId="0" borderId="50" xfId="0" applyFont="1" applyBorder="1" applyAlignment="1">
      <alignment horizontal="center" vertical="center"/>
    </xf>
    <xf numFmtId="0" fontId="5" fillId="0" borderId="51" xfId="0" applyFont="1" applyFill="1" applyBorder="1" applyAlignment="1" applyProtection="1">
      <alignment vertical="center" wrapText="1"/>
      <protection locked="0"/>
    </xf>
    <xf numFmtId="0" fontId="5" fillId="0" borderId="51" xfId="0" applyFont="1" applyFill="1" applyBorder="1" applyAlignment="1" applyProtection="1">
      <alignment horizontal="center" vertical="center" wrapText="1"/>
      <protection locked="0"/>
    </xf>
    <xf numFmtId="176" fontId="5" fillId="0" borderId="51" xfId="1" applyNumberFormat="1" applyFont="1" applyFill="1" applyBorder="1" applyAlignment="1" applyProtection="1">
      <alignment horizontal="right" vertical="center"/>
      <protection locked="0"/>
    </xf>
    <xf numFmtId="176" fontId="3" fillId="2" borderId="51" xfId="1" applyNumberFormat="1" applyFont="1" applyFill="1" applyBorder="1" applyAlignment="1" applyProtection="1">
      <alignment horizontal="right" vertical="center"/>
    </xf>
    <xf numFmtId="0" fontId="3" fillId="0" borderId="52" xfId="0" applyFont="1" applyFill="1" applyBorder="1" applyAlignment="1" applyProtection="1">
      <alignment vertical="center"/>
      <protection locked="0"/>
    </xf>
    <xf numFmtId="0" fontId="4" fillId="0" borderId="53" xfId="0" applyFont="1" applyFill="1" applyBorder="1" applyAlignment="1" applyProtection="1">
      <alignment horizontal="center" vertical="center"/>
      <protection locked="0"/>
    </xf>
    <xf numFmtId="0" fontId="4" fillId="0" borderId="54" xfId="0" applyFont="1" applyFill="1" applyBorder="1" applyAlignment="1" applyProtection="1">
      <alignment horizontal="center" vertical="center"/>
      <protection locked="0"/>
    </xf>
    <xf numFmtId="41" fontId="4" fillId="0" borderId="54" xfId="1" applyFont="1" applyFill="1" applyBorder="1" applyAlignment="1" applyProtection="1">
      <alignment horizontal="center" vertical="center"/>
      <protection locked="0"/>
    </xf>
    <xf numFmtId="41" fontId="4" fillId="0" borderId="55" xfId="1" applyFont="1" applyFill="1" applyBorder="1" applyAlignment="1" applyProtection="1">
      <alignment horizontal="center" vertical="center"/>
      <protection locked="0"/>
    </xf>
    <xf numFmtId="177" fontId="3" fillId="3" borderId="49" xfId="0" applyNumberFormat="1" applyFont="1" applyFill="1" applyBorder="1" applyAlignment="1" applyProtection="1">
      <alignment horizontal="left" vertical="center"/>
    </xf>
    <xf numFmtId="177" fontId="3" fillId="2" borderId="48" xfId="0" applyNumberFormat="1" applyFont="1" applyFill="1" applyBorder="1" applyAlignment="1" applyProtection="1">
      <alignment horizontal="right" vertical="center"/>
    </xf>
    <xf numFmtId="0" fontId="5" fillId="0" borderId="51" xfId="0" applyFont="1" applyFill="1" applyBorder="1" applyAlignment="1" applyProtection="1">
      <alignment horizontal="left" vertical="center" wrapText="1"/>
      <protection locked="0"/>
    </xf>
    <xf numFmtId="0" fontId="5" fillId="0" borderId="7" xfId="0" applyFont="1" applyFill="1" applyBorder="1" applyAlignment="1" applyProtection="1">
      <alignment horizontal="left" vertical="center" wrapText="1"/>
      <protection locked="0"/>
    </xf>
    <xf numFmtId="0" fontId="15" fillId="0" borderId="7" xfId="0" applyFont="1" applyFill="1" applyBorder="1" applyAlignment="1" applyProtection="1">
      <alignment vertical="center" wrapText="1"/>
      <protection locked="0"/>
    </xf>
    <xf numFmtId="0" fontId="16" fillId="0" borderId="51" xfId="0" applyFont="1" applyFill="1" applyBorder="1" applyAlignment="1" applyProtection="1">
      <alignment vertical="center" wrapText="1"/>
      <protection locked="0"/>
    </xf>
    <xf numFmtId="0" fontId="16" fillId="0" borderId="51" xfId="0" applyFont="1" applyFill="1" applyBorder="1" applyAlignment="1" applyProtection="1">
      <alignment horizontal="left" vertical="center" wrapText="1"/>
      <protection locked="0"/>
    </xf>
    <xf numFmtId="176" fontId="16" fillId="0" borderId="51" xfId="1" applyNumberFormat="1" applyFont="1" applyFill="1" applyBorder="1" applyAlignment="1" applyProtection="1">
      <alignment horizontal="right" vertical="center"/>
      <protection locked="0"/>
    </xf>
    <xf numFmtId="176" fontId="11" fillId="2" borderId="7" xfId="1" applyNumberFormat="1" applyFont="1" applyFill="1" applyBorder="1" applyAlignment="1" applyProtection="1">
      <alignment horizontal="right" vertical="center"/>
    </xf>
    <xf numFmtId="0" fontId="16" fillId="0" borderId="7" xfId="0" applyFont="1" applyFill="1" applyBorder="1" applyAlignment="1" applyProtection="1">
      <alignment vertical="center" wrapText="1"/>
      <protection locked="0"/>
    </xf>
    <xf numFmtId="176" fontId="16" fillId="0" borderId="7" xfId="1" applyNumberFormat="1" applyFont="1" applyFill="1" applyBorder="1" applyAlignment="1" applyProtection="1">
      <alignment horizontal="right" vertical="center"/>
      <protection locked="0"/>
    </xf>
    <xf numFmtId="0" fontId="18" fillId="0" borderId="7" xfId="0" applyFont="1" applyFill="1" applyBorder="1" applyAlignment="1" applyProtection="1">
      <alignment vertical="center" wrapText="1"/>
      <protection locked="0"/>
    </xf>
    <xf numFmtId="0" fontId="17" fillId="0" borderId="7" xfId="0" applyFont="1" applyBorder="1">
      <alignment vertical="center"/>
    </xf>
    <xf numFmtId="0" fontId="11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16" fillId="0" borderId="7" xfId="0" applyFont="1" applyFill="1" applyBorder="1" applyAlignment="1" applyProtection="1">
      <alignment horizontal="left" vertical="center" wrapText="1"/>
      <protection locked="0"/>
    </xf>
    <xf numFmtId="0" fontId="17" fillId="0" borderId="8" xfId="0" applyFont="1" applyBorder="1" applyAlignment="1">
      <alignment horizontal="center" vertical="center"/>
    </xf>
    <xf numFmtId="0" fontId="11" fillId="0" borderId="58" xfId="0" applyFont="1" applyFill="1" applyBorder="1" applyAlignment="1" applyProtection="1">
      <alignment vertical="center"/>
      <protection locked="0"/>
    </xf>
    <xf numFmtId="0" fontId="0" fillId="0" borderId="59" xfId="0" applyBorder="1">
      <alignment vertical="center"/>
    </xf>
    <xf numFmtId="0" fontId="9" fillId="0" borderId="8" xfId="0" applyFont="1" applyBorder="1" applyAlignment="1">
      <alignment horizontal="center" vertical="center"/>
    </xf>
    <xf numFmtId="0" fontId="3" fillId="0" borderId="58" xfId="0" applyFont="1" applyFill="1" applyBorder="1" applyAlignment="1" applyProtection="1">
      <alignment vertical="center"/>
      <protection locked="0"/>
    </xf>
    <xf numFmtId="0" fontId="19" fillId="0" borderId="60" xfId="0" applyFont="1" applyFill="1" applyBorder="1" applyAlignment="1" applyProtection="1">
      <alignment horizontal="center" vertical="center"/>
      <protection locked="0"/>
    </xf>
    <xf numFmtId="0" fontId="19" fillId="0" borderId="61" xfId="0" applyFont="1" applyFill="1" applyBorder="1" applyAlignment="1" applyProtection="1">
      <alignment horizontal="center" vertical="center"/>
      <protection locked="0"/>
    </xf>
    <xf numFmtId="41" fontId="19" fillId="0" borderId="61" xfId="1" applyFont="1" applyFill="1" applyBorder="1" applyAlignment="1" applyProtection="1">
      <alignment horizontal="center" vertical="center"/>
      <protection locked="0"/>
    </xf>
    <xf numFmtId="41" fontId="19" fillId="0" borderId="62" xfId="1" applyFont="1" applyFill="1" applyBorder="1" applyAlignment="1" applyProtection="1">
      <alignment horizontal="center" vertical="center"/>
      <protection locked="0"/>
    </xf>
    <xf numFmtId="0" fontId="4" fillId="0" borderId="65" xfId="0" applyFont="1" applyFill="1" applyBorder="1" applyAlignment="1" applyProtection="1">
      <alignment horizontal="distributed" vertical="center" justifyLastLine="1"/>
      <protection locked="0"/>
    </xf>
    <xf numFmtId="177" fontId="3" fillId="2" borderId="65" xfId="0" applyNumberFormat="1" applyFont="1" applyFill="1" applyBorder="1" applyAlignment="1" applyProtection="1">
      <alignment horizontal="right" vertical="center"/>
    </xf>
    <xf numFmtId="38" fontId="6" fillId="2" borderId="65" xfId="0" applyNumberFormat="1" applyFont="1" applyFill="1" applyBorder="1" applyAlignment="1" applyProtection="1">
      <alignment horizontal="right" vertical="center"/>
    </xf>
    <xf numFmtId="177" fontId="3" fillId="3" borderId="66" xfId="0" applyNumberFormat="1" applyFont="1" applyFill="1" applyBorder="1" applyAlignment="1" applyProtection="1">
      <alignment horizontal="left" vertical="center"/>
    </xf>
    <xf numFmtId="0" fontId="17" fillId="0" borderId="67" xfId="0" applyFont="1" applyBorder="1" applyAlignment="1">
      <alignment horizontal="center" vertical="center"/>
    </xf>
    <xf numFmtId="0" fontId="16" fillId="0" borderId="68" xfId="0" applyFont="1" applyFill="1" applyBorder="1" applyAlignment="1" applyProtection="1">
      <alignment vertical="center" wrapText="1"/>
      <protection locked="0"/>
    </xf>
    <xf numFmtId="0" fontId="17" fillId="0" borderId="22" xfId="0" applyFont="1" applyBorder="1">
      <alignment vertical="center"/>
    </xf>
    <xf numFmtId="0" fontId="16" fillId="0" borderId="68" xfId="0" applyFont="1" applyFill="1" applyBorder="1" applyAlignment="1" applyProtection="1">
      <alignment horizontal="left" vertical="center" wrapText="1"/>
      <protection locked="0"/>
    </xf>
    <xf numFmtId="176" fontId="16" fillId="0" borderId="68" xfId="1" applyNumberFormat="1" applyFont="1" applyFill="1" applyBorder="1" applyAlignment="1" applyProtection="1">
      <alignment horizontal="right" vertical="center"/>
      <protection locked="0"/>
    </xf>
    <xf numFmtId="176" fontId="11" fillId="2" borderId="68" xfId="1" applyNumberFormat="1" applyFont="1" applyFill="1" applyBorder="1" applyAlignment="1" applyProtection="1">
      <alignment horizontal="right" vertical="center"/>
    </xf>
    <xf numFmtId="0" fontId="11" fillId="0" borderId="69" xfId="0" applyFont="1" applyFill="1" applyBorder="1" applyAlignment="1" applyProtection="1">
      <alignment vertical="center"/>
      <protection locked="0"/>
    </xf>
    <xf numFmtId="0" fontId="9" fillId="0" borderId="70" xfId="0" applyFont="1" applyBorder="1" applyAlignment="1">
      <alignment horizontal="center" vertical="center"/>
    </xf>
    <xf numFmtId="0" fontId="5" fillId="0" borderId="48" xfId="0" applyFont="1" applyFill="1" applyBorder="1" applyAlignment="1" applyProtection="1">
      <alignment vertical="center" wrapText="1"/>
      <protection locked="0"/>
    </xf>
    <xf numFmtId="176" fontId="5" fillId="0" borderId="48" xfId="1" applyNumberFormat="1" applyFont="1" applyFill="1" applyBorder="1" applyAlignment="1" applyProtection="1">
      <alignment horizontal="right" vertical="center"/>
      <protection locked="0"/>
    </xf>
    <xf numFmtId="0" fontId="5" fillId="0" borderId="48" xfId="0" applyFont="1" applyFill="1" applyBorder="1" applyAlignment="1" applyProtection="1">
      <alignment horizontal="center" vertical="center" wrapText="1"/>
      <protection locked="0"/>
    </xf>
    <xf numFmtId="176" fontId="3" fillId="2" borderId="48" xfId="1" applyNumberFormat="1" applyFont="1" applyFill="1" applyBorder="1" applyAlignment="1" applyProtection="1">
      <alignment horizontal="right" vertical="center"/>
    </xf>
    <xf numFmtId="0" fontId="3" fillId="0" borderId="71" xfId="0" applyFont="1" applyFill="1" applyBorder="1" applyAlignment="1" applyProtection="1">
      <alignment vertical="center"/>
      <protection locked="0"/>
    </xf>
    <xf numFmtId="0" fontId="11" fillId="0" borderId="9" xfId="0" applyFont="1" applyFill="1" applyBorder="1" applyAlignment="1" applyProtection="1">
      <alignment vertical="center" wrapText="1"/>
      <protection locked="0"/>
    </xf>
    <xf numFmtId="0" fontId="4" fillId="0" borderId="60" xfId="0" applyFont="1" applyFill="1" applyBorder="1" applyAlignment="1" applyProtection="1">
      <alignment horizontal="center" vertical="center"/>
      <protection locked="0"/>
    </xf>
    <xf numFmtId="0" fontId="4" fillId="0" borderId="61" xfId="0" applyFont="1" applyFill="1" applyBorder="1" applyAlignment="1" applyProtection="1">
      <alignment horizontal="center" vertical="center"/>
      <protection locked="0"/>
    </xf>
    <xf numFmtId="41" fontId="4" fillId="0" borderId="61" xfId="1" applyFont="1" applyFill="1" applyBorder="1" applyAlignment="1" applyProtection="1">
      <alignment horizontal="center" vertical="center"/>
      <protection locked="0"/>
    </xf>
    <xf numFmtId="41" fontId="4" fillId="0" borderId="62" xfId="1" applyFont="1" applyFill="1" applyBorder="1" applyAlignment="1" applyProtection="1">
      <alignment horizontal="center" vertical="center"/>
      <protection locked="0"/>
    </xf>
    <xf numFmtId="0" fontId="9" fillId="0" borderId="72" xfId="0" applyFont="1" applyBorder="1" applyAlignment="1">
      <alignment horizontal="center" vertical="center"/>
    </xf>
    <xf numFmtId="0" fontId="3" fillId="0" borderId="73" xfId="0" applyFont="1" applyFill="1" applyBorder="1" applyAlignment="1" applyProtection="1">
      <alignment vertical="center"/>
      <protection locked="0"/>
    </xf>
    <xf numFmtId="0" fontId="4" fillId="0" borderId="31" xfId="0" applyFont="1" applyFill="1" applyBorder="1" applyAlignment="1" applyProtection="1">
      <alignment horizontal="distributed" vertical="center" justifyLastLine="1"/>
      <protection locked="0"/>
    </xf>
    <xf numFmtId="177" fontId="3" fillId="2" borderId="31" xfId="0" applyNumberFormat="1" applyFont="1" applyFill="1" applyBorder="1" applyAlignment="1" applyProtection="1">
      <alignment horizontal="right" vertical="center"/>
    </xf>
    <xf numFmtId="38" fontId="3" fillId="2" borderId="31" xfId="0" applyNumberFormat="1" applyFont="1" applyFill="1" applyBorder="1" applyAlignment="1" applyProtection="1">
      <alignment horizontal="right" vertical="center"/>
    </xf>
    <xf numFmtId="177" fontId="3" fillId="3" borderId="76" xfId="0" applyNumberFormat="1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vertical="top" wrapText="1"/>
      <protection locked="0"/>
    </xf>
    <xf numFmtId="0" fontId="24" fillId="0" borderId="51" xfId="0" applyFont="1" applyFill="1" applyBorder="1" applyAlignment="1" applyProtection="1">
      <alignment vertical="center" wrapText="1"/>
      <protection locked="0"/>
    </xf>
    <xf numFmtId="0" fontId="9" fillId="0" borderId="0" xfId="0" applyFont="1" applyBorder="1">
      <alignment vertical="center"/>
    </xf>
    <xf numFmtId="0" fontId="24" fillId="0" borderId="51" xfId="0" applyFont="1" applyFill="1" applyBorder="1" applyAlignment="1" applyProtection="1">
      <alignment horizontal="left" vertical="center" wrapText="1"/>
      <protection locked="0"/>
    </xf>
    <xf numFmtId="176" fontId="24" fillId="0" borderId="51" xfId="1" applyNumberFormat="1" applyFont="1" applyFill="1" applyBorder="1" applyAlignment="1" applyProtection="1">
      <alignment horizontal="right" vertical="center"/>
      <protection locked="0"/>
    </xf>
    <xf numFmtId="176" fontId="25" fillId="2" borderId="7" xfId="1" applyNumberFormat="1" applyFont="1" applyFill="1" applyBorder="1" applyAlignment="1" applyProtection="1">
      <alignment horizontal="right" vertical="center"/>
    </xf>
    <xf numFmtId="0" fontId="24" fillId="0" borderId="7" xfId="0" applyFont="1" applyFill="1" applyBorder="1" applyAlignment="1" applyProtection="1">
      <alignment vertical="center" wrapText="1"/>
      <protection locked="0"/>
    </xf>
    <xf numFmtId="176" fontId="24" fillId="0" borderId="7" xfId="1" applyNumberFormat="1" applyFont="1" applyFill="1" applyBorder="1" applyAlignment="1" applyProtection="1">
      <alignment horizontal="right" vertical="center"/>
      <protection locked="0"/>
    </xf>
    <xf numFmtId="0" fontId="9" fillId="0" borderId="7" xfId="0" applyFont="1" applyBorder="1">
      <alignment vertical="center"/>
    </xf>
    <xf numFmtId="176" fontId="25" fillId="2" borderId="47" xfId="1" applyNumberFormat="1" applyFont="1" applyFill="1" applyBorder="1" applyAlignment="1" applyProtection="1">
      <alignment horizontal="right" vertical="center"/>
    </xf>
    <xf numFmtId="0" fontId="24" fillId="0" borderId="7" xfId="0" applyFont="1" applyFill="1" applyBorder="1" applyAlignment="1" applyProtection="1">
      <alignment vertical="top" wrapText="1"/>
      <protection locked="0"/>
    </xf>
    <xf numFmtId="176" fontId="24" fillId="0" borderId="47" xfId="1" applyNumberFormat="1" applyFont="1" applyFill="1" applyBorder="1" applyAlignment="1" applyProtection="1">
      <alignment horizontal="right" vertical="center"/>
      <protection locked="0"/>
    </xf>
    <xf numFmtId="176" fontId="24" fillId="0" borderId="18" xfId="1" applyNumberFormat="1" applyFont="1" applyFill="1" applyBorder="1" applyAlignment="1" applyProtection="1">
      <alignment horizontal="right" vertical="center"/>
      <protection locked="0"/>
    </xf>
    <xf numFmtId="176" fontId="25" fillId="2" borderId="18" xfId="1" applyNumberFormat="1" applyFont="1" applyFill="1" applyBorder="1" applyAlignment="1" applyProtection="1">
      <alignment horizontal="right" vertical="center"/>
    </xf>
    <xf numFmtId="0" fontId="24" fillId="0" borderId="7" xfId="0" applyFont="1" applyFill="1" applyBorder="1" applyAlignment="1" applyProtection="1">
      <alignment horizontal="left" vertical="center" wrapText="1"/>
      <protection locked="0"/>
    </xf>
    <xf numFmtId="0" fontId="24" fillId="3" borderId="7" xfId="0" applyFont="1" applyFill="1" applyBorder="1" applyAlignment="1" applyProtection="1">
      <alignment vertical="center" wrapText="1"/>
      <protection locked="0"/>
    </xf>
    <xf numFmtId="0" fontId="0" fillId="3" borderId="7" xfId="0" applyFill="1" applyBorder="1">
      <alignment vertical="center"/>
    </xf>
    <xf numFmtId="0" fontId="24" fillId="3" borderId="51" xfId="0" applyFont="1" applyFill="1" applyBorder="1" applyAlignment="1" applyProtection="1">
      <alignment vertical="center" wrapText="1"/>
      <protection locked="0"/>
    </xf>
    <xf numFmtId="0" fontId="24" fillId="3" borderId="51" xfId="0" applyFont="1" applyFill="1" applyBorder="1" applyAlignment="1" applyProtection="1">
      <alignment horizontal="left" vertical="center" wrapText="1"/>
      <protection locked="0"/>
    </xf>
    <xf numFmtId="0" fontId="9" fillId="0" borderId="51" xfId="0" applyFont="1" applyBorder="1">
      <alignment vertical="center"/>
    </xf>
    <xf numFmtId="0" fontId="0" fillId="0" borderId="51" xfId="0" applyBorder="1">
      <alignment vertical="center"/>
    </xf>
    <xf numFmtId="0" fontId="16" fillId="3" borderId="51" xfId="0" applyFont="1" applyFill="1" applyBorder="1" applyAlignment="1" applyProtection="1">
      <alignment vertical="center" wrapText="1"/>
      <protection locked="0"/>
    </xf>
    <xf numFmtId="176" fontId="16" fillId="0" borderId="47" xfId="1" applyNumberFormat="1" applyFont="1" applyFill="1" applyBorder="1" applyAlignment="1" applyProtection="1">
      <alignment horizontal="right" vertical="center"/>
      <protection locked="0"/>
    </xf>
    <xf numFmtId="0" fontId="24" fillId="0" borderId="51" xfId="0" applyFont="1" applyFill="1" applyBorder="1" applyAlignment="1" applyProtection="1">
      <alignment horizontal="center" vertical="center" wrapText="1"/>
      <protection locked="0"/>
    </xf>
    <xf numFmtId="0" fontId="24" fillId="0" borderId="7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7" fontId="3" fillId="2" borderId="31" xfId="1" applyNumberFormat="1" applyFont="1" applyFill="1" applyBorder="1" applyAlignment="1" applyProtection="1">
      <alignment horizontal="center" vertical="center"/>
    </xf>
    <xf numFmtId="0" fontId="4" fillId="0" borderId="74" xfId="0" applyFont="1" applyFill="1" applyBorder="1" applyAlignment="1" applyProtection="1">
      <alignment horizontal="center" vertical="center" justifyLastLine="1"/>
      <protection locked="0"/>
    </xf>
    <xf numFmtId="0" fontId="4" fillId="0" borderId="75" xfId="0" applyFont="1" applyFill="1" applyBorder="1" applyAlignment="1" applyProtection="1">
      <alignment horizontal="center" vertical="center" justifyLastLine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63" xfId="0" applyFont="1" applyFill="1" applyBorder="1" applyAlignment="1" applyProtection="1">
      <alignment horizontal="center" vertical="center" justifyLastLine="1"/>
      <protection locked="0"/>
    </xf>
    <xf numFmtId="0" fontId="4" fillId="0" borderId="64" xfId="0" applyFont="1" applyFill="1" applyBorder="1" applyAlignment="1" applyProtection="1">
      <alignment horizontal="center" vertical="center" justifyLastLine="1"/>
      <protection locked="0"/>
    </xf>
    <xf numFmtId="177" fontId="11" fillId="2" borderId="65" xfId="1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6" xfId="0" applyFont="1" applyFill="1" applyBorder="1" applyAlignment="1" applyProtection="1">
      <alignment horizontal="center" vertical="center" justifyLastLine="1"/>
      <protection locked="0"/>
    </xf>
    <xf numFmtId="0" fontId="4" fillId="0" borderId="57" xfId="0" applyFont="1" applyFill="1" applyBorder="1" applyAlignment="1" applyProtection="1">
      <alignment horizontal="center" vertical="center" justifyLastLine="1"/>
      <protection locked="0"/>
    </xf>
    <xf numFmtId="177" fontId="3" fillId="2" borderId="48" xfId="1" applyNumberFormat="1" applyFont="1" applyFill="1" applyBorder="1" applyAlignment="1" applyProtection="1">
      <alignment horizontal="center" vertical="center"/>
    </xf>
    <xf numFmtId="177" fontId="3" fillId="2" borderId="44" xfId="1" applyNumberFormat="1" applyFont="1" applyFill="1" applyBorder="1" applyAlignment="1" applyProtection="1">
      <alignment horizontal="center" vertical="center"/>
    </xf>
    <xf numFmtId="177" fontId="3" fillId="2" borderId="45" xfId="1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77" fontId="3" fillId="2" borderId="23" xfId="1" applyNumberFormat="1" applyFont="1" applyFill="1" applyBorder="1" applyAlignment="1" applyProtection="1">
      <alignment horizontal="center" vertical="center"/>
    </xf>
    <xf numFmtId="177" fontId="3" fillId="2" borderId="24" xfId="1" applyNumberFormat="1" applyFont="1" applyFill="1" applyBorder="1" applyAlignment="1" applyProtection="1">
      <alignment horizontal="center" vertical="center"/>
    </xf>
    <xf numFmtId="0" fontId="5" fillId="0" borderId="37" xfId="0" applyFont="1" applyFill="1" applyBorder="1" applyAlignment="1" applyProtection="1">
      <alignment horizontal="left" vertical="center" wrapText="1"/>
      <protection locked="0"/>
    </xf>
    <xf numFmtId="0" fontId="5" fillId="0" borderId="22" xfId="0" applyFont="1" applyFill="1" applyBorder="1" applyAlignment="1" applyProtection="1">
      <alignment horizontal="left" vertical="center" wrapText="1"/>
      <protection locked="0"/>
    </xf>
    <xf numFmtId="0" fontId="5" fillId="0" borderId="39" xfId="0" applyFont="1" applyFill="1" applyBorder="1" applyAlignment="1" applyProtection="1">
      <alignment horizontal="left" vertical="center" wrapText="1"/>
      <protection locked="0"/>
    </xf>
    <xf numFmtId="0" fontId="5" fillId="0" borderId="23" xfId="0" applyFont="1" applyFill="1" applyBorder="1" applyAlignment="1" applyProtection="1">
      <alignment horizontal="left" vertical="center" wrapText="1"/>
      <protection locked="0"/>
    </xf>
  </cellXfs>
  <cellStyles count="2">
    <cellStyle name="一般" xfId="0" builtinId="0"/>
    <cellStyle name="千分位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tabSelected="1" topLeftCell="A11" zoomScale="50" zoomScaleNormal="50" zoomScaleSheetLayoutView="70" workbookViewId="0">
      <selection activeCell="B1" sqref="B1:K29"/>
    </sheetView>
  </sheetViews>
  <sheetFormatPr defaultColWidth="8.77734375" defaultRowHeight="16.2"/>
  <cols>
    <col min="1" max="1" width="4.33203125" customWidth="1"/>
    <col min="2" max="2" width="7.10937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7.55468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292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307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293</v>
      </c>
      <c r="E7" s="174"/>
      <c r="F7" s="178" t="s">
        <v>294</v>
      </c>
      <c r="G7" s="179">
        <v>1</v>
      </c>
      <c r="H7" s="159"/>
      <c r="I7" s="160">
        <f>G7*H7</f>
        <v>0</v>
      </c>
      <c r="J7" s="150"/>
    </row>
    <row r="8" spans="3:10" ht="51.45" customHeight="1">
      <c r="C8" s="121">
        <v>2</v>
      </c>
      <c r="D8" s="172" t="s">
        <v>295</v>
      </c>
      <c r="E8" s="156"/>
      <c r="F8" s="178" t="s">
        <v>296</v>
      </c>
      <c r="G8" s="179">
        <v>2</v>
      </c>
      <c r="H8" s="159">
        <v>5000</v>
      </c>
      <c r="I8" s="160">
        <f t="shared" ref="I8:I26" si="0">G8*H8</f>
        <v>10000</v>
      </c>
      <c r="J8" s="122"/>
    </row>
    <row r="9" spans="3:10" ht="49.95" customHeight="1">
      <c r="C9" s="121">
        <v>3</v>
      </c>
      <c r="D9" s="173" t="s">
        <v>297</v>
      </c>
      <c r="E9" s="161"/>
      <c r="F9" s="178" t="s">
        <v>294</v>
      </c>
      <c r="G9" s="179">
        <v>1</v>
      </c>
      <c r="H9" s="166">
        <v>5000</v>
      </c>
      <c r="I9" s="160">
        <f t="shared" si="0"/>
        <v>5000</v>
      </c>
      <c r="J9" s="122"/>
    </row>
    <row r="10" spans="3:10" ht="49.95" customHeight="1">
      <c r="C10" s="121">
        <v>4</v>
      </c>
      <c r="D10" s="104" t="s">
        <v>298</v>
      </c>
      <c r="E10" s="161"/>
      <c r="F10" s="178" t="s">
        <v>294</v>
      </c>
      <c r="G10" s="179">
        <v>1</v>
      </c>
      <c r="H10" s="162">
        <v>5000</v>
      </c>
      <c r="I10" s="160">
        <f t="shared" si="0"/>
        <v>5000</v>
      </c>
      <c r="J10" s="122"/>
    </row>
    <row r="11" spans="3:10" ht="49.95" customHeight="1">
      <c r="C11" s="121">
        <v>5</v>
      </c>
      <c r="D11" s="104" t="s">
        <v>299</v>
      </c>
      <c r="E11" s="161"/>
      <c r="F11" s="178" t="s">
        <v>294</v>
      </c>
      <c r="G11" s="179">
        <v>1</v>
      </c>
      <c r="H11" s="162">
        <v>3000</v>
      </c>
      <c r="I11" s="160">
        <f t="shared" si="0"/>
        <v>3000</v>
      </c>
      <c r="J11" s="122"/>
    </row>
    <row r="12" spans="3:10" ht="49.95" customHeight="1">
      <c r="C12" s="121">
        <v>6</v>
      </c>
      <c r="D12" s="104" t="s">
        <v>300</v>
      </c>
      <c r="E12" s="161"/>
      <c r="F12" s="178" t="s">
        <v>294</v>
      </c>
      <c r="G12" s="179">
        <v>1</v>
      </c>
      <c r="H12" s="162">
        <v>15000</v>
      </c>
      <c r="I12" s="160">
        <f t="shared" si="0"/>
        <v>15000</v>
      </c>
      <c r="J12" s="122"/>
    </row>
    <row r="13" spans="3:10" ht="49.95" customHeight="1">
      <c r="C13" s="121">
        <v>7</v>
      </c>
      <c r="D13" s="170" t="s">
        <v>301</v>
      </c>
      <c r="E13" s="163"/>
      <c r="F13" s="178" t="s">
        <v>294</v>
      </c>
      <c r="G13" s="179">
        <v>1</v>
      </c>
      <c r="H13" s="162">
        <v>15000</v>
      </c>
      <c r="I13" s="160">
        <f t="shared" si="0"/>
        <v>15000</v>
      </c>
      <c r="J13" s="122"/>
    </row>
    <row r="14" spans="3:10" ht="49.95" customHeight="1">
      <c r="C14" s="121">
        <v>8</v>
      </c>
      <c r="D14" s="170" t="s">
        <v>302</v>
      </c>
      <c r="E14" s="161"/>
      <c r="F14" s="179" t="s">
        <v>294</v>
      </c>
      <c r="G14" s="179">
        <v>1</v>
      </c>
      <c r="H14" s="162"/>
      <c r="I14" s="168">
        <f t="shared" si="0"/>
        <v>0</v>
      </c>
      <c r="J14" s="122"/>
    </row>
    <row r="15" spans="3:10" ht="49.95" customHeight="1">
      <c r="C15" s="121">
        <v>9</v>
      </c>
      <c r="D15" s="170" t="s">
        <v>303</v>
      </c>
      <c r="E15" s="157"/>
      <c r="F15" s="179" t="s">
        <v>294</v>
      </c>
      <c r="G15" s="179">
        <v>1</v>
      </c>
      <c r="H15" s="162"/>
      <c r="I15" s="168">
        <f t="shared" si="0"/>
        <v>0</v>
      </c>
      <c r="J15" s="120"/>
    </row>
    <row r="16" spans="3:10" ht="49.95" customHeight="1">
      <c r="C16" s="121">
        <v>10</v>
      </c>
      <c r="D16" s="170" t="s">
        <v>304</v>
      </c>
      <c r="E16" s="161"/>
      <c r="F16" s="179" t="s">
        <v>294</v>
      </c>
      <c r="G16" s="179">
        <v>1</v>
      </c>
      <c r="H16" s="162"/>
      <c r="I16" s="168">
        <f t="shared" si="0"/>
        <v>0</v>
      </c>
      <c r="J16" s="122"/>
    </row>
    <row r="17" spans="3:13" ht="49.95" customHeight="1">
      <c r="C17" s="121">
        <v>11</v>
      </c>
      <c r="D17" s="170" t="s">
        <v>305</v>
      </c>
      <c r="E17" s="165"/>
      <c r="F17" s="179" t="s">
        <v>294</v>
      </c>
      <c r="G17" s="179">
        <v>1</v>
      </c>
      <c r="H17" s="165"/>
      <c r="I17" s="168">
        <f t="shared" si="0"/>
        <v>0</v>
      </c>
      <c r="J17" s="122"/>
    </row>
    <row r="18" spans="3:13" ht="49.95" customHeight="1">
      <c r="C18" s="121">
        <v>12</v>
      </c>
      <c r="D18" s="104" t="s">
        <v>306</v>
      </c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0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0"/>
        <v>0</v>
      </c>
      <c r="J26" s="122"/>
    </row>
    <row r="27" spans="3:13" ht="57.45" customHeight="1" thickBot="1">
      <c r="C27" s="182" t="s">
        <v>10</v>
      </c>
      <c r="D27" s="182"/>
      <c r="E27" s="152" t="s">
        <v>278</v>
      </c>
      <c r="F27" s="182">
        <f>I27</f>
        <v>53000</v>
      </c>
      <c r="G27" s="182"/>
      <c r="H27" s="152" t="s">
        <v>7</v>
      </c>
      <c r="I27" s="153">
        <f>SUM(I7:I26)</f>
        <v>53000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topLeftCell="A16" zoomScale="50" zoomScaleNormal="50" zoomScaleSheetLayoutView="70" workbookViewId="0">
      <selection activeCell="B1" sqref="B1:K28"/>
    </sheetView>
  </sheetViews>
  <sheetFormatPr defaultColWidth="8.77734375" defaultRowHeight="16.2"/>
  <cols>
    <col min="1" max="1" width="4.33203125" customWidth="1"/>
    <col min="2" max="2" width="7.10937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201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285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286</v>
      </c>
      <c r="E7" s="174"/>
      <c r="F7" s="158" t="s">
        <v>31</v>
      </c>
      <c r="G7" s="159">
        <v>1</v>
      </c>
      <c r="H7" s="159">
        <v>21000</v>
      </c>
      <c r="I7" s="160">
        <f>G7*H7</f>
        <v>21000</v>
      </c>
      <c r="J7" s="150"/>
    </row>
    <row r="8" spans="3:10" ht="51.45" customHeight="1">
      <c r="C8" s="121">
        <v>2</v>
      </c>
      <c r="D8" s="172" t="s">
        <v>287</v>
      </c>
      <c r="E8" s="156"/>
      <c r="F8" s="158" t="s">
        <v>31</v>
      </c>
      <c r="G8" s="159">
        <v>1</v>
      </c>
      <c r="H8" s="159">
        <v>25000</v>
      </c>
      <c r="I8" s="160">
        <f t="shared" ref="I8:I26" si="0">G8*H8</f>
        <v>25000</v>
      </c>
      <c r="J8" s="122"/>
    </row>
    <row r="9" spans="3:10" ht="49.95" customHeight="1">
      <c r="C9" s="121">
        <v>3</v>
      </c>
      <c r="D9" s="173" t="s">
        <v>288</v>
      </c>
      <c r="E9" s="161"/>
      <c r="F9" s="158" t="s">
        <v>31</v>
      </c>
      <c r="G9" s="166">
        <v>1</v>
      </c>
      <c r="H9" s="166">
        <v>25000</v>
      </c>
      <c r="I9" s="160">
        <f t="shared" si="0"/>
        <v>25000</v>
      </c>
      <c r="J9" s="122"/>
    </row>
    <row r="10" spans="3:10" ht="49.95" customHeight="1">
      <c r="C10" s="121">
        <v>4</v>
      </c>
      <c r="D10" s="104" t="s">
        <v>290</v>
      </c>
      <c r="E10" s="161"/>
      <c r="F10" s="158" t="s">
        <v>23</v>
      </c>
      <c r="G10" s="162">
        <v>1</v>
      </c>
      <c r="H10" s="162">
        <v>1800</v>
      </c>
      <c r="I10" s="160">
        <f t="shared" si="0"/>
        <v>1800</v>
      </c>
      <c r="J10" s="122"/>
    </row>
    <row r="11" spans="3:10" ht="49.95" customHeight="1">
      <c r="C11" s="121">
        <v>5</v>
      </c>
      <c r="D11" s="104" t="s">
        <v>161</v>
      </c>
      <c r="E11" s="161"/>
      <c r="F11" s="158" t="s">
        <v>31</v>
      </c>
      <c r="G11" s="162">
        <v>1</v>
      </c>
      <c r="H11" s="162">
        <v>250</v>
      </c>
      <c r="I11" s="160">
        <f t="shared" si="0"/>
        <v>250</v>
      </c>
      <c r="J11" s="122"/>
    </row>
    <row r="12" spans="3:10" ht="49.95" customHeight="1">
      <c r="C12" s="121">
        <v>6</v>
      </c>
      <c r="D12" s="104" t="s">
        <v>289</v>
      </c>
      <c r="E12" s="161"/>
      <c r="F12" s="158" t="s">
        <v>31</v>
      </c>
      <c r="G12" s="162">
        <v>1</v>
      </c>
      <c r="H12" s="162">
        <v>1800</v>
      </c>
      <c r="I12" s="160">
        <f t="shared" si="0"/>
        <v>1800</v>
      </c>
      <c r="J12" s="122"/>
    </row>
    <row r="13" spans="3:10" ht="49.95" customHeight="1">
      <c r="C13" s="121">
        <v>7</v>
      </c>
      <c r="D13" s="170" t="s">
        <v>47</v>
      </c>
      <c r="E13" s="163"/>
      <c r="F13" s="158" t="s">
        <v>31</v>
      </c>
      <c r="G13" s="162">
        <v>1</v>
      </c>
      <c r="H13" s="162">
        <v>10000</v>
      </c>
      <c r="I13" s="160">
        <f t="shared" si="0"/>
        <v>10000</v>
      </c>
      <c r="J13" s="122"/>
    </row>
    <row r="14" spans="3:10" ht="49.95" customHeight="1">
      <c r="C14" s="121">
        <v>8</v>
      </c>
      <c r="D14" s="170" t="s">
        <v>291</v>
      </c>
      <c r="E14" s="161"/>
      <c r="F14" s="169" t="s">
        <v>31</v>
      </c>
      <c r="G14" s="162">
        <v>1</v>
      </c>
      <c r="H14" s="162">
        <v>1000</v>
      </c>
      <c r="I14" s="168">
        <f t="shared" si="0"/>
        <v>1000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0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0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0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0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0"/>
        <v>0</v>
      </c>
      <c r="J26" s="122"/>
    </row>
    <row r="27" spans="3:13" ht="57.45" customHeight="1" thickBot="1">
      <c r="C27" s="182" t="s">
        <v>10</v>
      </c>
      <c r="D27" s="182"/>
      <c r="E27" s="152" t="s">
        <v>278</v>
      </c>
      <c r="F27" s="182">
        <f>I27</f>
        <v>85850</v>
      </c>
      <c r="G27" s="182"/>
      <c r="H27" s="152" t="s">
        <v>7</v>
      </c>
      <c r="I27" s="153">
        <f>SUM(I7:I26)</f>
        <v>85850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51" zoomScaleNormal="51" zoomScaleSheetLayoutView="70" workbookViewId="0">
      <selection activeCell="B1" sqref="B1:K29"/>
    </sheetView>
  </sheetViews>
  <sheetFormatPr defaultColWidth="8.77734375" defaultRowHeight="16.2"/>
  <cols>
    <col min="1" max="1" width="4.33203125" customWidth="1"/>
    <col min="2" max="2" width="7.10937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279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285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280</v>
      </c>
      <c r="E7" s="174"/>
      <c r="F7" s="158" t="s">
        <v>31</v>
      </c>
      <c r="G7" s="159">
        <v>1</v>
      </c>
      <c r="H7" s="159">
        <v>3500</v>
      </c>
      <c r="I7" s="160">
        <f>G7*H7</f>
        <v>3500</v>
      </c>
      <c r="J7" s="150"/>
    </row>
    <row r="8" spans="3:10" ht="51.45" customHeight="1">
      <c r="C8" s="121">
        <v>2</v>
      </c>
      <c r="D8" s="172" t="s">
        <v>281</v>
      </c>
      <c r="E8" s="156"/>
      <c r="F8" s="158" t="s">
        <v>31</v>
      </c>
      <c r="G8" s="159"/>
      <c r="H8" s="159"/>
      <c r="I8" s="160">
        <f t="shared" ref="I8:I26" si="0">G8*H8</f>
        <v>0</v>
      </c>
      <c r="J8" s="122"/>
    </row>
    <row r="9" spans="3:10" ht="49.95" customHeight="1">
      <c r="C9" s="121">
        <v>3</v>
      </c>
      <c r="D9" s="173" t="s">
        <v>282</v>
      </c>
      <c r="E9" s="161"/>
      <c r="F9" s="158" t="s">
        <v>31</v>
      </c>
      <c r="G9" s="166">
        <v>1</v>
      </c>
      <c r="H9" s="166">
        <v>1500</v>
      </c>
      <c r="I9" s="160">
        <f t="shared" si="0"/>
        <v>1500</v>
      </c>
      <c r="J9" s="122"/>
    </row>
    <row r="10" spans="3:10" ht="49.95" customHeight="1">
      <c r="C10" s="121">
        <v>4</v>
      </c>
      <c r="D10" s="104" t="s">
        <v>283</v>
      </c>
      <c r="E10" s="161"/>
      <c r="F10" s="158" t="s">
        <v>23</v>
      </c>
      <c r="G10" s="162">
        <v>4</v>
      </c>
      <c r="H10" s="162">
        <v>150</v>
      </c>
      <c r="I10" s="160">
        <f t="shared" si="0"/>
        <v>600</v>
      </c>
      <c r="J10" s="122"/>
    </row>
    <row r="11" spans="3:10" ht="49.95" customHeight="1">
      <c r="C11" s="121">
        <v>5</v>
      </c>
      <c r="D11" s="104" t="s">
        <v>284</v>
      </c>
      <c r="E11" s="161"/>
      <c r="F11" s="158" t="s">
        <v>31</v>
      </c>
      <c r="G11" s="162">
        <v>1</v>
      </c>
      <c r="H11" s="162">
        <v>500</v>
      </c>
      <c r="I11" s="160">
        <f t="shared" si="0"/>
        <v>500</v>
      </c>
      <c r="J11" s="122"/>
    </row>
    <row r="12" spans="3:10" ht="49.95" customHeight="1">
      <c r="C12" s="121">
        <v>6</v>
      </c>
      <c r="D12" s="170" t="s">
        <v>47</v>
      </c>
      <c r="E12" s="161"/>
      <c r="F12" s="158" t="s">
        <v>31</v>
      </c>
      <c r="G12" s="162">
        <v>1</v>
      </c>
      <c r="H12" s="162">
        <v>5000</v>
      </c>
      <c r="I12" s="160">
        <f t="shared" si="0"/>
        <v>5000</v>
      </c>
      <c r="J12" s="122"/>
    </row>
    <row r="13" spans="3:10" ht="49.95" customHeight="1">
      <c r="C13" s="121">
        <v>7</v>
      </c>
      <c r="E13" s="163"/>
      <c r="F13" s="169"/>
      <c r="G13" s="162"/>
      <c r="H13" s="162"/>
      <c r="I13" s="160">
        <f t="shared" si="0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0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0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0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0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0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0"/>
        <v>0</v>
      </c>
      <c r="J26" s="122"/>
    </row>
    <row r="27" spans="3:13" ht="57.45" customHeight="1" thickBot="1">
      <c r="C27" s="182" t="s">
        <v>10</v>
      </c>
      <c r="D27" s="182"/>
      <c r="E27" s="152" t="s">
        <v>278</v>
      </c>
      <c r="F27" s="182">
        <f>I27</f>
        <v>11100</v>
      </c>
      <c r="G27" s="182"/>
      <c r="H27" s="152" t="s">
        <v>7</v>
      </c>
      <c r="I27" s="153">
        <f>SUM(I7:I26)</f>
        <v>11100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50" zoomScaleNormal="50" zoomScaleSheetLayoutView="70" workbookViewId="0">
      <selection activeCell="P4" sqref="P4"/>
    </sheetView>
  </sheetViews>
  <sheetFormatPr defaultColWidth="8.77734375" defaultRowHeight="16.2"/>
  <cols>
    <col min="1" max="1" width="4.33203125" customWidth="1"/>
    <col min="2" max="2" width="7.10937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271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272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273</v>
      </c>
      <c r="E7" s="174"/>
      <c r="F7" s="158" t="s">
        <v>34</v>
      </c>
      <c r="G7" s="159">
        <v>4</v>
      </c>
      <c r="H7" s="159">
        <v>650</v>
      </c>
      <c r="I7" s="160">
        <f>G7*H7</f>
        <v>2600</v>
      </c>
      <c r="J7" s="150"/>
    </row>
    <row r="8" spans="3:10" ht="51.45" customHeight="1">
      <c r="C8" s="121">
        <v>2</v>
      </c>
      <c r="D8" s="172" t="s">
        <v>274</v>
      </c>
      <c r="E8" s="156"/>
      <c r="F8" s="158" t="s">
        <v>31</v>
      </c>
      <c r="G8" s="159">
        <v>4</v>
      </c>
      <c r="H8" s="159">
        <v>150</v>
      </c>
      <c r="I8" s="160">
        <f t="shared" ref="I8:I13" si="0">G8*H8</f>
        <v>600</v>
      </c>
      <c r="J8" s="122"/>
    </row>
    <row r="9" spans="3:10" ht="49.95" customHeight="1">
      <c r="C9" s="121">
        <v>3</v>
      </c>
      <c r="D9" s="173" t="s">
        <v>275</v>
      </c>
      <c r="E9" s="161"/>
      <c r="F9" s="158" t="s">
        <v>22</v>
      </c>
      <c r="G9" s="166">
        <v>4</v>
      </c>
      <c r="H9" s="166">
        <v>150</v>
      </c>
      <c r="I9" s="160">
        <f t="shared" si="0"/>
        <v>600</v>
      </c>
      <c r="J9" s="122"/>
    </row>
    <row r="10" spans="3:10" ht="49.95" customHeight="1">
      <c r="C10" s="121">
        <v>4</v>
      </c>
      <c r="D10" s="104" t="s">
        <v>276</v>
      </c>
      <c r="E10" s="161"/>
      <c r="F10" s="158" t="s">
        <v>31</v>
      </c>
      <c r="G10" s="162">
        <v>4</v>
      </c>
      <c r="H10" s="162">
        <v>100</v>
      </c>
      <c r="I10" s="160">
        <f t="shared" si="0"/>
        <v>400</v>
      </c>
      <c r="J10" s="122"/>
    </row>
    <row r="11" spans="3:10" ht="49.95" customHeight="1">
      <c r="C11" s="121">
        <v>5</v>
      </c>
      <c r="D11" s="104" t="s">
        <v>277</v>
      </c>
      <c r="E11" s="161"/>
      <c r="F11" s="158" t="s">
        <v>31</v>
      </c>
      <c r="G11" s="162">
        <v>4</v>
      </c>
      <c r="H11" s="162">
        <v>100</v>
      </c>
      <c r="I11" s="160">
        <f t="shared" si="0"/>
        <v>400</v>
      </c>
      <c r="J11" s="122"/>
    </row>
    <row r="12" spans="3:10" ht="49.95" customHeight="1">
      <c r="C12" s="121">
        <v>6</v>
      </c>
      <c r="D12" s="104" t="s">
        <v>37</v>
      </c>
      <c r="E12" s="161"/>
      <c r="F12" s="158" t="s">
        <v>31</v>
      </c>
      <c r="G12" s="162">
        <v>1</v>
      </c>
      <c r="H12" s="162">
        <v>1500</v>
      </c>
      <c r="I12" s="160">
        <f t="shared" si="0"/>
        <v>1500</v>
      </c>
      <c r="J12" s="122"/>
    </row>
    <row r="13" spans="3:10" ht="49.95" customHeight="1">
      <c r="C13" s="121">
        <v>7</v>
      </c>
      <c r="D13" s="170" t="s">
        <v>47</v>
      </c>
      <c r="E13" s="163"/>
      <c r="F13" s="169" t="s">
        <v>31</v>
      </c>
      <c r="G13" s="162">
        <v>1</v>
      </c>
      <c r="H13" s="162">
        <v>5000</v>
      </c>
      <c r="I13" s="160">
        <f t="shared" si="0"/>
        <v>5000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ref="I14:I26" si="1">G14*H14</f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1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1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1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1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1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1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1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1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1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1"/>
        <v>0</v>
      </c>
      <c r="J26" s="122"/>
    </row>
    <row r="27" spans="3:13" ht="57.45" customHeight="1" thickBot="1">
      <c r="C27" s="182" t="s">
        <v>10</v>
      </c>
      <c r="D27" s="182"/>
      <c r="E27" s="152" t="s">
        <v>278</v>
      </c>
      <c r="F27" s="182">
        <f>I27</f>
        <v>11100</v>
      </c>
      <c r="G27" s="182"/>
      <c r="H27" s="152" t="s">
        <v>7</v>
      </c>
      <c r="I27" s="153">
        <f>SUM(I7:I26)</f>
        <v>11100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30" zoomScaleNormal="30" zoomScaleSheetLayoutView="70" workbookViewId="0">
      <selection activeCell="Q25" sqref="Q25"/>
    </sheetView>
  </sheetViews>
  <sheetFormatPr defaultColWidth="8.77734375" defaultRowHeight="16.2"/>
  <cols>
    <col min="1" max="1" width="4.33203125" customWidth="1"/>
    <col min="2" max="2" width="7.10937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264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269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265</v>
      </c>
      <c r="E7" s="174"/>
      <c r="F7" s="158" t="s">
        <v>115</v>
      </c>
      <c r="G7" s="159">
        <v>1</v>
      </c>
      <c r="H7" s="159">
        <v>5000</v>
      </c>
      <c r="I7" s="160">
        <f>G7*H7</f>
        <v>5000</v>
      </c>
      <c r="J7" s="150"/>
    </row>
    <row r="8" spans="3:10" ht="51.45" customHeight="1">
      <c r="C8" s="121">
        <v>2</v>
      </c>
      <c r="D8" s="172" t="s">
        <v>266</v>
      </c>
      <c r="E8" s="156"/>
      <c r="F8" s="158" t="s">
        <v>115</v>
      </c>
      <c r="G8" s="159">
        <v>1</v>
      </c>
      <c r="H8" s="159"/>
      <c r="I8" s="160">
        <f t="shared" ref="I8:I9" si="0">G8*H8</f>
        <v>0</v>
      </c>
      <c r="J8" s="122"/>
    </row>
    <row r="9" spans="3:10" ht="49.95" customHeight="1">
      <c r="C9" s="121">
        <v>3</v>
      </c>
      <c r="D9" s="173" t="s">
        <v>268</v>
      </c>
      <c r="E9" s="161"/>
      <c r="F9" s="158" t="s">
        <v>115</v>
      </c>
      <c r="G9" s="166">
        <v>1</v>
      </c>
      <c r="H9" s="166"/>
      <c r="I9" s="160">
        <f t="shared" si="0"/>
        <v>0</v>
      </c>
      <c r="J9" s="122"/>
    </row>
    <row r="10" spans="3:10" ht="49.95" customHeight="1">
      <c r="C10" s="121">
        <v>4</v>
      </c>
      <c r="D10" s="169" t="s">
        <v>267</v>
      </c>
      <c r="E10" s="161"/>
      <c r="F10" s="158" t="s">
        <v>115</v>
      </c>
      <c r="G10" s="162">
        <v>1</v>
      </c>
      <c r="H10" s="162"/>
      <c r="I10" s="168"/>
      <c r="J10" s="122"/>
    </row>
    <row r="11" spans="3:10" ht="49.95" customHeight="1">
      <c r="C11" s="121">
        <v>5</v>
      </c>
      <c r="E11" s="161"/>
      <c r="F11" s="169"/>
      <c r="G11" s="162"/>
      <c r="H11" s="162"/>
      <c r="I11" s="168">
        <f t="shared" ref="I11:I26" si="1">G11*H11</f>
        <v>0</v>
      </c>
      <c r="J11" s="122"/>
    </row>
    <row r="12" spans="3:10" ht="49.95" customHeight="1">
      <c r="C12" s="121">
        <v>6</v>
      </c>
      <c r="D12" s="170"/>
      <c r="E12" s="163"/>
      <c r="F12" s="169"/>
      <c r="G12" s="162"/>
      <c r="H12" s="162"/>
      <c r="I12" s="168">
        <f t="shared" si="1"/>
        <v>0</v>
      </c>
      <c r="J12" s="122"/>
    </row>
    <row r="13" spans="3:10" ht="49.95" customHeight="1">
      <c r="C13" s="121">
        <v>7</v>
      </c>
      <c r="D13" s="170"/>
      <c r="E13" s="161"/>
      <c r="F13" s="169"/>
      <c r="G13" s="162"/>
      <c r="H13" s="162"/>
      <c r="I13" s="168">
        <f t="shared" si="1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1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1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1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1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1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1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1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1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1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1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1"/>
        <v>0</v>
      </c>
      <c r="J26" s="122"/>
    </row>
    <row r="27" spans="3:13" ht="57.45" customHeight="1" thickBot="1">
      <c r="C27" s="183" t="s">
        <v>10</v>
      </c>
      <c r="D27" s="184"/>
      <c r="E27" s="151" t="s">
        <v>4</v>
      </c>
      <c r="F27" s="182" t="s">
        <v>270</v>
      </c>
      <c r="G27" s="182"/>
      <c r="H27" s="152" t="s">
        <v>7</v>
      </c>
      <c r="I27" s="153">
        <v>5000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53" zoomScaleNormal="53" zoomScaleSheetLayoutView="70" workbookViewId="0">
      <selection activeCell="D7" sqref="D7"/>
    </sheetView>
  </sheetViews>
  <sheetFormatPr defaultColWidth="8.77734375" defaultRowHeight="16.2"/>
  <cols>
    <col min="1" max="1" width="4.33203125" customWidth="1"/>
    <col min="2" max="2" width="7.10937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257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259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260</v>
      </c>
      <c r="E7" s="174"/>
      <c r="F7" s="158" t="s">
        <v>261</v>
      </c>
      <c r="G7" s="159">
        <v>1</v>
      </c>
      <c r="H7" s="159">
        <v>800</v>
      </c>
      <c r="I7" s="160">
        <f>G7*H7</f>
        <v>800</v>
      </c>
      <c r="J7" s="150"/>
    </row>
    <row r="8" spans="3:10" ht="51.45" customHeight="1">
      <c r="C8" s="121">
        <v>2</v>
      </c>
      <c r="D8" s="172" t="s">
        <v>262</v>
      </c>
      <c r="E8" s="156"/>
      <c r="F8" s="158" t="s">
        <v>261</v>
      </c>
      <c r="G8" s="159">
        <v>1</v>
      </c>
      <c r="H8" s="159">
        <v>800</v>
      </c>
      <c r="I8" s="160">
        <f t="shared" ref="I8:I9" si="0">G8*H8</f>
        <v>800</v>
      </c>
      <c r="J8" s="122"/>
    </row>
    <row r="9" spans="3:10" ht="49.95" customHeight="1">
      <c r="C9" s="121">
        <v>3</v>
      </c>
      <c r="D9" s="173"/>
      <c r="E9" s="161"/>
      <c r="F9" s="158"/>
      <c r="G9" s="166"/>
      <c r="H9" s="166"/>
      <c r="I9" s="160">
        <f t="shared" si="0"/>
        <v>0</v>
      </c>
      <c r="J9" s="122"/>
    </row>
    <row r="10" spans="3:10" ht="49.95" customHeight="1">
      <c r="C10" s="121">
        <v>4</v>
      </c>
      <c r="D10" s="169"/>
      <c r="E10" s="161"/>
      <c r="F10" s="169"/>
      <c r="G10" s="162"/>
      <c r="H10" s="162"/>
      <c r="I10" s="168"/>
      <c r="J10" s="122"/>
    </row>
    <row r="11" spans="3:10" ht="49.95" customHeight="1">
      <c r="C11" s="121">
        <v>5</v>
      </c>
      <c r="E11" s="161"/>
      <c r="F11" s="169"/>
      <c r="G11" s="162"/>
      <c r="H11" s="162"/>
      <c r="I11" s="168">
        <f t="shared" ref="I11:I26" si="1">G11*H11</f>
        <v>0</v>
      </c>
      <c r="J11" s="122"/>
    </row>
    <row r="12" spans="3:10" ht="49.95" customHeight="1">
      <c r="C12" s="121">
        <v>6</v>
      </c>
      <c r="D12" s="170"/>
      <c r="E12" s="163"/>
      <c r="F12" s="169"/>
      <c r="G12" s="162"/>
      <c r="H12" s="162"/>
      <c r="I12" s="168">
        <f t="shared" si="1"/>
        <v>0</v>
      </c>
      <c r="J12" s="122"/>
    </row>
    <row r="13" spans="3:10" ht="49.95" customHeight="1">
      <c r="C13" s="121">
        <v>7</v>
      </c>
      <c r="D13" s="170"/>
      <c r="E13" s="161"/>
      <c r="F13" s="169"/>
      <c r="G13" s="162"/>
      <c r="H13" s="162"/>
      <c r="I13" s="168">
        <f t="shared" si="1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1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1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1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1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1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1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1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1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1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1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1"/>
        <v>0</v>
      </c>
      <c r="J26" s="122"/>
    </row>
    <row r="27" spans="3:13" ht="57.45" customHeight="1" thickBot="1">
      <c r="C27" s="183" t="s">
        <v>10</v>
      </c>
      <c r="D27" s="184"/>
      <c r="E27" s="151" t="s">
        <v>4</v>
      </c>
      <c r="F27" s="182" t="s">
        <v>263</v>
      </c>
      <c r="G27" s="182"/>
      <c r="H27" s="152" t="s">
        <v>7</v>
      </c>
      <c r="I27" s="153">
        <v>1600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topLeftCell="A13" zoomScale="53" zoomScaleNormal="53" zoomScaleSheetLayoutView="70" workbookViewId="0">
      <selection activeCell="B2" sqref="B2:K28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247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258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253</v>
      </c>
      <c r="E7" s="174"/>
      <c r="F7" s="158" t="s">
        <v>254</v>
      </c>
      <c r="G7" s="159">
        <v>1</v>
      </c>
      <c r="H7" s="159">
        <v>3500</v>
      </c>
      <c r="I7" s="160">
        <f>G7*H7</f>
        <v>3500</v>
      </c>
      <c r="J7" s="150"/>
    </row>
    <row r="8" spans="3:10" ht="51.45" customHeight="1">
      <c r="C8" s="121">
        <v>2</v>
      </c>
      <c r="D8" s="172" t="s">
        <v>255</v>
      </c>
      <c r="E8" s="156"/>
      <c r="F8" s="158"/>
      <c r="G8" s="159"/>
      <c r="H8" s="159"/>
      <c r="I8" s="160">
        <f t="shared" ref="I8:I9" si="0">G8*H8</f>
        <v>0</v>
      </c>
      <c r="J8" s="122"/>
    </row>
    <row r="9" spans="3:10" ht="49.95" customHeight="1">
      <c r="C9" s="121">
        <v>3</v>
      </c>
      <c r="D9" s="173"/>
      <c r="E9" s="161"/>
      <c r="F9" s="158"/>
      <c r="G9" s="166"/>
      <c r="H9" s="166"/>
      <c r="I9" s="160">
        <f t="shared" si="0"/>
        <v>0</v>
      </c>
      <c r="J9" s="122"/>
    </row>
    <row r="10" spans="3:10" ht="49.95" customHeight="1">
      <c r="C10" s="121">
        <v>4</v>
      </c>
      <c r="D10" s="169"/>
      <c r="E10" s="161"/>
      <c r="F10" s="169"/>
      <c r="G10" s="162"/>
      <c r="H10" s="162"/>
      <c r="I10" s="168"/>
      <c r="J10" s="122"/>
    </row>
    <row r="11" spans="3:10" ht="49.95" customHeight="1">
      <c r="C11" s="121">
        <v>5</v>
      </c>
      <c r="E11" s="161"/>
      <c r="F11" s="169"/>
      <c r="G11" s="162"/>
      <c r="H11" s="162"/>
      <c r="I11" s="168">
        <f t="shared" ref="I11:I26" si="1">G11*H11</f>
        <v>0</v>
      </c>
      <c r="J11" s="122"/>
    </row>
    <row r="12" spans="3:10" ht="49.95" customHeight="1">
      <c r="C12" s="121">
        <v>6</v>
      </c>
      <c r="D12" s="170"/>
      <c r="E12" s="163"/>
      <c r="F12" s="169"/>
      <c r="G12" s="162"/>
      <c r="H12" s="162"/>
      <c r="I12" s="168">
        <f t="shared" si="1"/>
        <v>0</v>
      </c>
      <c r="J12" s="122"/>
    </row>
    <row r="13" spans="3:10" ht="49.95" customHeight="1">
      <c r="C13" s="121">
        <v>7</v>
      </c>
      <c r="D13" s="170"/>
      <c r="E13" s="161"/>
      <c r="F13" s="169"/>
      <c r="G13" s="162"/>
      <c r="H13" s="162"/>
      <c r="I13" s="168">
        <f t="shared" si="1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1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1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1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1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1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1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1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1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1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1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1"/>
        <v>0</v>
      </c>
      <c r="J26" s="122"/>
    </row>
    <row r="27" spans="3:13" ht="57.45" customHeight="1" thickBot="1">
      <c r="C27" s="183" t="s">
        <v>10</v>
      </c>
      <c r="D27" s="184"/>
      <c r="E27" s="151" t="s">
        <v>4</v>
      </c>
      <c r="F27" s="182" t="s">
        <v>256</v>
      </c>
      <c r="G27" s="182"/>
      <c r="H27" s="152" t="s">
        <v>7</v>
      </c>
      <c r="I27" s="153">
        <v>3500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50" zoomScaleNormal="50" zoomScaleSheetLayoutView="70" workbookViewId="0">
      <selection activeCell="B1" sqref="B1:K28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247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252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248</v>
      </c>
      <c r="E7" s="174"/>
      <c r="F7" s="158" t="s">
        <v>31</v>
      </c>
      <c r="G7" s="159">
        <v>1</v>
      </c>
      <c r="H7" s="159">
        <v>1500</v>
      </c>
      <c r="I7" s="160">
        <f>G7*H7</f>
        <v>1500</v>
      </c>
      <c r="J7" s="150"/>
    </row>
    <row r="8" spans="3:10" ht="51.45" customHeight="1">
      <c r="C8" s="121">
        <v>2</v>
      </c>
      <c r="D8" s="172" t="s">
        <v>249</v>
      </c>
      <c r="E8" s="156"/>
      <c r="F8" s="158" t="s">
        <v>31</v>
      </c>
      <c r="G8" s="159">
        <v>1</v>
      </c>
      <c r="H8" s="159">
        <v>3500</v>
      </c>
      <c r="I8" s="160">
        <f t="shared" ref="I8:I9" si="0">G8*H8</f>
        <v>3500</v>
      </c>
      <c r="J8" s="122"/>
    </row>
    <row r="9" spans="3:10" ht="49.95" customHeight="1">
      <c r="C9" s="121">
        <v>3</v>
      </c>
      <c r="D9" s="173" t="s">
        <v>250</v>
      </c>
      <c r="E9" s="161"/>
      <c r="F9" s="158" t="s">
        <v>31</v>
      </c>
      <c r="G9" s="166">
        <v>1</v>
      </c>
      <c r="H9" s="166">
        <v>3500</v>
      </c>
      <c r="I9" s="160">
        <f t="shared" si="0"/>
        <v>3500</v>
      </c>
      <c r="J9" s="122"/>
    </row>
    <row r="10" spans="3:10" ht="49.95" customHeight="1">
      <c r="C10" s="121">
        <v>4</v>
      </c>
      <c r="D10" s="169" t="s">
        <v>208</v>
      </c>
      <c r="E10" s="161"/>
      <c r="F10" s="169"/>
      <c r="G10" s="162"/>
      <c r="H10" s="162"/>
      <c r="I10" s="168"/>
      <c r="J10" s="122"/>
    </row>
    <row r="11" spans="3:10" ht="49.95" customHeight="1">
      <c r="C11" s="121">
        <v>5</v>
      </c>
      <c r="E11" s="161"/>
      <c r="F11" s="169"/>
      <c r="G11" s="162"/>
      <c r="H11" s="162"/>
      <c r="I11" s="168">
        <f t="shared" ref="I11:I26" si="1">G11*H11</f>
        <v>0</v>
      </c>
      <c r="J11" s="122"/>
    </row>
    <row r="12" spans="3:10" ht="49.95" customHeight="1">
      <c r="C12" s="121">
        <v>6</v>
      </c>
      <c r="D12" s="170"/>
      <c r="E12" s="163"/>
      <c r="F12" s="169"/>
      <c r="G12" s="162"/>
      <c r="H12" s="162"/>
      <c r="I12" s="168">
        <f t="shared" si="1"/>
        <v>0</v>
      </c>
      <c r="J12" s="122"/>
    </row>
    <row r="13" spans="3:10" ht="49.95" customHeight="1">
      <c r="C13" s="121">
        <v>7</v>
      </c>
      <c r="D13" s="170"/>
      <c r="E13" s="161"/>
      <c r="F13" s="169"/>
      <c r="G13" s="162"/>
      <c r="H13" s="162"/>
      <c r="I13" s="168">
        <f t="shared" si="1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1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1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1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1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1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1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1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1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1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1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1"/>
        <v>0</v>
      </c>
      <c r="J26" s="122"/>
    </row>
    <row r="27" spans="3:13" ht="61.8" customHeight="1" thickBot="1">
      <c r="C27" s="183" t="s">
        <v>10</v>
      </c>
      <c r="D27" s="184"/>
      <c r="E27" s="151" t="s">
        <v>4</v>
      </c>
      <c r="F27" s="182" t="s">
        <v>251</v>
      </c>
      <c r="G27" s="182"/>
      <c r="H27" s="152" t="s">
        <v>7</v>
      </c>
      <c r="I27" s="153">
        <v>8500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6"/>
  <sheetViews>
    <sheetView showGridLines="0" topLeftCell="A13" zoomScale="40" zoomScaleNormal="40" zoomScaleSheetLayoutView="70" workbookViewId="0">
      <selection activeCell="D58" sqref="D58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90.3320312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246</v>
      </c>
      <c r="E4" s="3" t="s">
        <v>14</v>
      </c>
      <c r="F4" s="2"/>
      <c r="G4" s="2"/>
      <c r="H4" s="2"/>
      <c r="I4" s="2"/>
    </row>
    <row r="5" spans="3:10" ht="49.95" customHeight="1" thickBot="1">
      <c r="D5" s="2"/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51.45" customHeight="1" thickTop="1">
      <c r="C7" s="121">
        <v>2</v>
      </c>
      <c r="D7" s="176" t="s">
        <v>245</v>
      </c>
      <c r="E7" s="106"/>
      <c r="F7" s="107" t="s">
        <v>25</v>
      </c>
      <c r="G7" s="108">
        <v>5</v>
      </c>
      <c r="H7" s="108">
        <v>2000</v>
      </c>
      <c r="I7" s="109">
        <f>G7*H7</f>
        <v>10000</v>
      </c>
      <c r="J7" s="122"/>
    </row>
    <row r="8" spans="3:10" ht="49.95" customHeight="1">
      <c r="C8" s="121">
        <v>3</v>
      </c>
      <c r="D8" s="117" t="s">
        <v>208</v>
      </c>
      <c r="E8" s="110"/>
      <c r="F8" s="107"/>
      <c r="G8" s="177"/>
      <c r="H8" s="177"/>
      <c r="I8" s="168">
        <f t="shared" ref="I8:I25" si="0">G8*H8</f>
        <v>0</v>
      </c>
      <c r="J8" s="122"/>
    </row>
    <row r="9" spans="3:10" ht="49.95" customHeight="1">
      <c r="C9" s="121">
        <v>4</v>
      </c>
      <c r="D9" s="34"/>
      <c r="E9" s="161"/>
      <c r="F9" s="169"/>
      <c r="G9" s="162"/>
      <c r="H9" s="162"/>
      <c r="I9" s="168">
        <f t="shared" si="0"/>
        <v>0</v>
      </c>
      <c r="J9" s="122"/>
    </row>
    <row r="10" spans="3:10" ht="49.95" customHeight="1">
      <c r="C10" s="121">
        <v>5</v>
      </c>
      <c r="E10" s="161"/>
      <c r="F10" s="169"/>
      <c r="G10" s="162"/>
      <c r="H10" s="162"/>
      <c r="I10" s="168">
        <f t="shared" si="0"/>
        <v>0</v>
      </c>
      <c r="J10" s="122"/>
    </row>
    <row r="11" spans="3:10" ht="49.95" customHeight="1">
      <c r="C11" s="121">
        <v>6</v>
      </c>
      <c r="D11" s="170"/>
      <c r="E11" s="163"/>
      <c r="F11" s="169"/>
      <c r="G11" s="162"/>
      <c r="H11" s="162"/>
      <c r="I11" s="168">
        <f t="shared" si="0"/>
        <v>0</v>
      </c>
      <c r="J11" s="122"/>
    </row>
    <row r="12" spans="3:10" ht="49.95" customHeight="1">
      <c r="C12" s="121">
        <v>7</v>
      </c>
      <c r="D12" s="170"/>
      <c r="E12" s="161"/>
      <c r="F12" s="169"/>
      <c r="G12" s="162"/>
      <c r="H12" s="162"/>
      <c r="I12" s="168">
        <f t="shared" si="0"/>
        <v>0</v>
      </c>
      <c r="J12" s="122"/>
    </row>
    <row r="13" spans="3:10" ht="49.95" customHeight="1">
      <c r="C13" s="121">
        <v>8</v>
      </c>
      <c r="D13" s="170"/>
      <c r="E13" s="161"/>
      <c r="F13" s="169"/>
      <c r="G13" s="162"/>
      <c r="H13" s="162"/>
      <c r="I13" s="168">
        <f t="shared" si="0"/>
        <v>0</v>
      </c>
      <c r="J13" s="122"/>
    </row>
    <row r="14" spans="3:10" ht="49.95" customHeight="1">
      <c r="C14" s="121">
        <v>9</v>
      </c>
      <c r="D14" s="170"/>
      <c r="E14" s="157"/>
      <c r="F14" s="169"/>
      <c r="G14" s="162"/>
      <c r="H14" s="162"/>
      <c r="I14" s="168">
        <f t="shared" si="0"/>
        <v>0</v>
      </c>
      <c r="J14" s="120"/>
    </row>
    <row r="15" spans="3:10" ht="49.95" customHeight="1">
      <c r="C15" s="121">
        <v>10</v>
      </c>
      <c r="D15" s="171"/>
      <c r="E15" s="161"/>
      <c r="F15" s="169"/>
      <c r="G15" s="162"/>
      <c r="H15" s="162"/>
      <c r="I15" s="168">
        <f t="shared" si="0"/>
        <v>0</v>
      </c>
      <c r="J15" s="122"/>
    </row>
    <row r="16" spans="3:10" ht="49.95" customHeight="1">
      <c r="C16" s="121">
        <v>11</v>
      </c>
      <c r="D16" s="171"/>
      <c r="E16" s="165"/>
      <c r="F16" s="165"/>
      <c r="G16" s="165"/>
      <c r="H16" s="165"/>
      <c r="I16" s="168">
        <f t="shared" si="0"/>
        <v>0</v>
      </c>
      <c r="J16" s="122"/>
    </row>
    <row r="17" spans="3:13" ht="49.95" customHeight="1">
      <c r="C17" s="121">
        <v>12</v>
      </c>
      <c r="D17" s="155"/>
      <c r="E17" s="155"/>
      <c r="F17" s="155"/>
      <c r="G17" s="155"/>
      <c r="H17" s="155"/>
      <c r="I17" s="38">
        <f t="shared" si="0"/>
        <v>0</v>
      </c>
      <c r="J17" s="122"/>
    </row>
    <row r="18" spans="3:13" ht="49.95" customHeight="1">
      <c r="C18" s="121">
        <v>13</v>
      </c>
      <c r="D18" s="155"/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14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15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16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17</v>
      </c>
      <c r="D22" s="155"/>
      <c r="E22" s="155"/>
      <c r="F22" s="155"/>
      <c r="G22" s="155"/>
      <c r="H22" s="155"/>
      <c r="I22" s="38">
        <f t="shared" si="0"/>
        <v>0</v>
      </c>
      <c r="J22" s="122"/>
      <c r="L22" s="1"/>
      <c r="M22" s="1"/>
    </row>
    <row r="23" spans="3:13" ht="49.95" customHeight="1">
      <c r="C23" s="121">
        <v>18</v>
      </c>
      <c r="D23" s="155"/>
      <c r="E23" s="155"/>
      <c r="F23" s="155"/>
      <c r="G23" s="155"/>
      <c r="H23" s="155"/>
      <c r="I23" s="38"/>
      <c r="J23" s="122"/>
      <c r="L23" s="1"/>
      <c r="M23" s="1"/>
    </row>
    <row r="24" spans="3:13" ht="49.95" customHeight="1">
      <c r="C24" s="121">
        <v>19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20</v>
      </c>
      <c r="D25" s="155"/>
      <c r="E25" s="155"/>
      <c r="F25" s="155"/>
      <c r="G25" s="155"/>
      <c r="H25" s="155"/>
      <c r="I25" s="38">
        <f t="shared" si="0"/>
        <v>0</v>
      </c>
      <c r="J25" s="122"/>
    </row>
    <row r="26" spans="3:13" ht="61.8" customHeight="1" thickBot="1">
      <c r="C26" s="183" t="s">
        <v>10</v>
      </c>
      <c r="D26" s="184"/>
      <c r="E26" s="151" t="s">
        <v>4</v>
      </c>
      <c r="F26" s="182">
        <f>IF(SUM(I7:I25)=0,"",SUM(I7:I25))</f>
        <v>10000</v>
      </c>
      <c r="G26" s="182"/>
      <c r="H26" s="152" t="s">
        <v>7</v>
      </c>
      <c r="I26" s="153">
        <f>SUM(I7:I25)</f>
        <v>10000</v>
      </c>
      <c r="J26" s="154"/>
    </row>
  </sheetData>
  <mergeCells count="4">
    <mergeCell ref="D2:J2"/>
    <mergeCell ref="D3:J3"/>
    <mergeCell ref="C26:D26"/>
    <mergeCell ref="F26:G26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topLeftCell="A16" zoomScale="60" zoomScaleNormal="60" zoomScaleSheetLayoutView="70" workbookViewId="0">
      <selection activeCell="B1" sqref="B1:K29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68.109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240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239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241</v>
      </c>
      <c r="E7" s="174"/>
      <c r="F7" s="175"/>
      <c r="G7" s="175"/>
      <c r="H7" s="175"/>
      <c r="J7" s="150"/>
    </row>
    <row r="8" spans="3:10" ht="51.45" customHeight="1">
      <c r="C8" s="121">
        <v>2</v>
      </c>
      <c r="D8" s="172" t="s">
        <v>243</v>
      </c>
      <c r="E8" s="156"/>
      <c r="F8" s="158" t="s">
        <v>31</v>
      </c>
      <c r="G8" s="159">
        <v>1</v>
      </c>
      <c r="H8" s="159">
        <v>45000</v>
      </c>
      <c r="I8" s="160">
        <f>G8*H8</f>
        <v>45000</v>
      </c>
      <c r="J8" s="122"/>
    </row>
    <row r="9" spans="3:10" ht="49.95" customHeight="1">
      <c r="C9" s="121">
        <v>3</v>
      </c>
      <c r="D9" s="173" t="s">
        <v>242</v>
      </c>
      <c r="E9" s="161"/>
      <c r="F9" s="158" t="s">
        <v>31</v>
      </c>
      <c r="G9" s="166">
        <v>1</v>
      </c>
      <c r="H9" s="166">
        <v>8000</v>
      </c>
      <c r="I9" s="168">
        <f t="shared" ref="I9:I26" si="0">G9*H9</f>
        <v>8000</v>
      </c>
      <c r="J9" s="122"/>
    </row>
    <row r="10" spans="3:10" ht="49.95" customHeight="1">
      <c r="C10" s="121">
        <v>4</v>
      </c>
      <c r="D10" s="172" t="s">
        <v>244</v>
      </c>
      <c r="E10" s="161"/>
      <c r="F10" s="169" t="s">
        <v>31</v>
      </c>
      <c r="G10" s="162">
        <v>1</v>
      </c>
      <c r="H10" s="162">
        <v>10000</v>
      </c>
      <c r="I10" s="168">
        <f t="shared" si="0"/>
        <v>10000</v>
      </c>
      <c r="J10" s="122"/>
    </row>
    <row r="11" spans="3:10" ht="49.95" customHeight="1">
      <c r="C11" s="121">
        <v>5</v>
      </c>
      <c r="D11" s="169" t="s">
        <v>208</v>
      </c>
      <c r="E11" s="161"/>
      <c r="F11" s="169"/>
      <c r="G11" s="162"/>
      <c r="H11" s="162"/>
      <c r="I11" s="168">
        <f t="shared" si="0"/>
        <v>0</v>
      </c>
      <c r="J11" s="122"/>
    </row>
    <row r="12" spans="3:10" ht="49.95" customHeight="1">
      <c r="C12" s="121">
        <v>6</v>
      </c>
      <c r="D12" s="170"/>
      <c r="E12" s="163"/>
      <c r="F12" s="169"/>
      <c r="G12" s="162"/>
      <c r="H12" s="162"/>
      <c r="I12" s="168">
        <f t="shared" si="0"/>
        <v>0</v>
      </c>
      <c r="J12" s="122"/>
    </row>
    <row r="13" spans="3:10" ht="49.95" customHeight="1">
      <c r="C13" s="121">
        <v>7</v>
      </c>
      <c r="D13" s="170"/>
      <c r="E13" s="161"/>
      <c r="F13" s="169"/>
      <c r="G13" s="162"/>
      <c r="H13" s="162"/>
      <c r="I13" s="168">
        <f t="shared" si="0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0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0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0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0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0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0"/>
        <v>0</v>
      </c>
      <c r="J26" s="122"/>
    </row>
    <row r="27" spans="3:13" ht="61.8" customHeight="1" thickBot="1">
      <c r="C27" s="183" t="s">
        <v>10</v>
      </c>
      <c r="D27" s="184"/>
      <c r="E27" s="151" t="s">
        <v>4</v>
      </c>
      <c r="F27" s="182">
        <f>IF(SUM(I8:I26)=0,"",SUM(I8:I26))</f>
        <v>63000</v>
      </c>
      <c r="G27" s="182"/>
      <c r="H27" s="152" t="s">
        <v>7</v>
      </c>
      <c r="I27" s="153">
        <f>SUM(I8:I26)</f>
        <v>63000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86" zoomScaleNormal="86" zoomScaleSheetLayoutView="70" workbookViewId="0">
      <selection activeCell="B1" sqref="B1:J28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62.77734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234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239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72" t="s">
        <v>235</v>
      </c>
      <c r="E7" s="157"/>
      <c r="F7" s="158" t="s">
        <v>31</v>
      </c>
      <c r="G7" s="159">
        <v>1</v>
      </c>
      <c r="H7" s="159">
        <v>35000</v>
      </c>
      <c r="I7" s="160">
        <f t="shared" ref="I7:I26" si="0">G7*H7</f>
        <v>35000</v>
      </c>
      <c r="J7" s="150"/>
    </row>
    <row r="8" spans="3:10" ht="51.45" customHeight="1">
      <c r="C8" s="121">
        <v>2</v>
      </c>
      <c r="D8" s="172" t="s">
        <v>236</v>
      </c>
      <c r="E8" s="161"/>
      <c r="G8" s="166"/>
      <c r="H8" s="167"/>
      <c r="I8" s="168">
        <f t="shared" si="0"/>
        <v>0</v>
      </c>
      <c r="J8" s="122"/>
    </row>
    <row r="9" spans="3:10" ht="49.95" customHeight="1">
      <c r="C9" s="121">
        <v>3</v>
      </c>
      <c r="D9" s="173" t="s">
        <v>237</v>
      </c>
      <c r="E9" s="161"/>
      <c r="F9" s="169"/>
      <c r="G9" s="162"/>
      <c r="H9" s="162"/>
      <c r="I9" s="168">
        <f t="shared" si="0"/>
        <v>0</v>
      </c>
      <c r="J9" s="122"/>
    </row>
    <row r="10" spans="3:10" ht="49.95" customHeight="1">
      <c r="C10" s="121">
        <v>4</v>
      </c>
      <c r="D10" s="172" t="s">
        <v>238</v>
      </c>
      <c r="E10" s="161"/>
      <c r="F10" s="169" t="s">
        <v>23</v>
      </c>
      <c r="G10" s="162">
        <v>2</v>
      </c>
      <c r="H10" s="162">
        <v>8000</v>
      </c>
      <c r="I10" s="168">
        <f t="shared" si="0"/>
        <v>16000</v>
      </c>
      <c r="J10" s="122"/>
    </row>
    <row r="11" spans="3:10" ht="49.95" customHeight="1">
      <c r="C11" s="121">
        <v>5</v>
      </c>
      <c r="D11" s="165" t="s">
        <v>208</v>
      </c>
      <c r="E11" s="161"/>
      <c r="F11" s="169"/>
      <c r="G11" s="162"/>
      <c r="H11" s="162"/>
      <c r="I11" s="168">
        <f t="shared" si="0"/>
        <v>0</v>
      </c>
      <c r="J11" s="122"/>
    </row>
    <row r="12" spans="3:10" ht="49.95" customHeight="1">
      <c r="C12" s="121">
        <v>6</v>
      </c>
      <c r="D12" s="170"/>
      <c r="E12" s="163"/>
      <c r="F12" s="169"/>
      <c r="G12" s="162"/>
      <c r="H12" s="162"/>
      <c r="I12" s="168">
        <f t="shared" si="0"/>
        <v>0</v>
      </c>
      <c r="J12" s="122"/>
    </row>
    <row r="13" spans="3:10" ht="49.95" customHeight="1">
      <c r="C13" s="121">
        <v>7</v>
      </c>
      <c r="D13" s="170"/>
      <c r="E13" s="161"/>
      <c r="F13" s="169"/>
      <c r="G13" s="162"/>
      <c r="H13" s="162"/>
      <c r="I13" s="168">
        <f t="shared" si="0"/>
        <v>0</v>
      </c>
      <c r="J13" s="122"/>
    </row>
    <row r="14" spans="3:10" ht="49.95" customHeight="1">
      <c r="C14" s="121">
        <v>8</v>
      </c>
      <c r="D14" s="170"/>
      <c r="E14" s="161"/>
      <c r="F14" s="169"/>
      <c r="G14" s="162"/>
      <c r="H14" s="162"/>
      <c r="I14" s="168">
        <f t="shared" si="0"/>
        <v>0</v>
      </c>
      <c r="J14" s="122"/>
    </row>
    <row r="15" spans="3:10" ht="49.95" customHeight="1">
      <c r="C15" s="121">
        <v>9</v>
      </c>
      <c r="D15" s="170"/>
      <c r="E15" s="157"/>
      <c r="F15" s="169"/>
      <c r="G15" s="162"/>
      <c r="H15" s="162"/>
      <c r="I15" s="168">
        <f t="shared" si="0"/>
        <v>0</v>
      </c>
      <c r="J15" s="120"/>
    </row>
    <row r="16" spans="3:10" ht="49.95" customHeight="1">
      <c r="C16" s="121">
        <v>10</v>
      </c>
      <c r="D16" s="171"/>
      <c r="E16" s="161"/>
      <c r="F16" s="169"/>
      <c r="G16" s="162"/>
      <c r="H16" s="162"/>
      <c r="I16" s="168">
        <f t="shared" si="0"/>
        <v>0</v>
      </c>
      <c r="J16" s="122"/>
    </row>
    <row r="17" spans="3:13" ht="49.95" customHeight="1">
      <c r="C17" s="121">
        <v>11</v>
      </c>
      <c r="D17" s="171"/>
      <c r="E17" s="165"/>
      <c r="F17" s="165"/>
      <c r="G17" s="165"/>
      <c r="H17" s="165"/>
      <c r="I17" s="168">
        <f t="shared" si="0"/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0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0"/>
        <v>0</v>
      </c>
      <c r="J26" s="122"/>
    </row>
    <row r="27" spans="3:13" ht="61.8" customHeight="1" thickBot="1">
      <c r="C27" s="183" t="s">
        <v>10</v>
      </c>
      <c r="D27" s="184"/>
      <c r="E27" s="151" t="s">
        <v>4</v>
      </c>
      <c r="F27" s="182">
        <f>IF(SUM(I7:I26)=0,"",SUM(I7:I26))</f>
        <v>51000</v>
      </c>
      <c r="G27" s="182"/>
      <c r="H27" s="152" t="s">
        <v>7</v>
      </c>
      <c r="I27" s="153">
        <f>SUM(I7:I26)</f>
        <v>51000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topLeftCell="A16" zoomScale="60" zoomScaleNormal="60" zoomScaleSheetLayoutView="70" workbookViewId="0">
      <selection activeCell="L16" sqref="L16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62.77734375" customWidth="1"/>
    <col min="5" max="5" width="18.109375" customWidth="1"/>
    <col min="6" max="6" width="21" customWidth="1"/>
    <col min="7" max="7" width="20.3320312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61.2">
      <c r="D2" s="180" t="s">
        <v>13</v>
      </c>
      <c r="E2" s="180"/>
      <c r="F2" s="180"/>
      <c r="G2" s="180"/>
      <c r="H2" s="180"/>
      <c r="I2" s="180"/>
      <c r="J2" s="180"/>
    </row>
    <row r="3" spans="3:10" ht="49.95" customHeight="1">
      <c r="D3" s="181" t="s">
        <v>8</v>
      </c>
      <c r="E3" s="181"/>
      <c r="F3" s="181"/>
      <c r="G3" s="181"/>
      <c r="H3" s="181"/>
      <c r="I3" s="181"/>
      <c r="J3" s="181"/>
    </row>
    <row r="4" spans="3:10" ht="49.95" customHeight="1">
      <c r="D4" s="31" t="s">
        <v>232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231</v>
      </c>
      <c r="E5" s="2"/>
      <c r="F5" s="2"/>
      <c r="G5" s="2"/>
      <c r="H5" s="2"/>
      <c r="I5" s="2"/>
    </row>
    <row r="6" spans="3:10" ht="49.95" customHeight="1" thickBot="1">
      <c r="C6" s="145" t="s">
        <v>185</v>
      </c>
      <c r="D6" s="146" t="s">
        <v>9</v>
      </c>
      <c r="E6" s="146" t="s">
        <v>0</v>
      </c>
      <c r="F6" s="146" t="s">
        <v>87</v>
      </c>
      <c r="G6" s="147" t="s">
        <v>1</v>
      </c>
      <c r="H6" s="146" t="s">
        <v>2</v>
      </c>
      <c r="I6" s="146" t="s">
        <v>3</v>
      </c>
      <c r="J6" s="148" t="s">
        <v>5</v>
      </c>
    </row>
    <row r="7" spans="3:10" ht="49.95" customHeight="1" thickTop="1">
      <c r="C7" s="149">
        <v>1</v>
      </c>
      <c r="D7" s="156" t="s">
        <v>222</v>
      </c>
      <c r="E7" s="157"/>
      <c r="F7" s="158" t="s">
        <v>34</v>
      </c>
      <c r="G7" s="159">
        <v>7</v>
      </c>
      <c r="H7" s="159">
        <v>680</v>
      </c>
      <c r="I7" s="160">
        <f t="shared" ref="I7:I26" si="0">G7*H7</f>
        <v>4760</v>
      </c>
      <c r="J7" s="150"/>
    </row>
    <row r="8" spans="3:10" ht="51.45" customHeight="1">
      <c r="C8" s="121">
        <v>2</v>
      </c>
      <c r="D8" s="156" t="s">
        <v>229</v>
      </c>
      <c r="E8" s="161"/>
      <c r="F8" s="158" t="s">
        <v>31</v>
      </c>
      <c r="G8" s="159">
        <v>4</v>
      </c>
      <c r="H8" s="162">
        <v>650</v>
      </c>
      <c r="I8" s="160">
        <f t="shared" si="0"/>
        <v>2600</v>
      </c>
      <c r="J8" s="122"/>
    </row>
    <row r="9" spans="3:10" ht="49.95" customHeight="1">
      <c r="C9" s="121">
        <v>3</v>
      </c>
      <c r="D9" s="158" t="s">
        <v>223</v>
      </c>
      <c r="E9" s="161"/>
      <c r="F9" s="158" t="s">
        <v>66</v>
      </c>
      <c r="G9" s="162">
        <v>15</v>
      </c>
      <c r="H9" s="162">
        <v>75</v>
      </c>
      <c r="I9" s="160">
        <f t="shared" si="0"/>
        <v>1125</v>
      </c>
      <c r="J9" s="122"/>
    </row>
    <row r="10" spans="3:10" ht="49.95" customHeight="1">
      <c r="C10" s="121">
        <v>4</v>
      </c>
      <c r="D10" s="156" t="s">
        <v>224</v>
      </c>
      <c r="E10" s="161"/>
      <c r="F10" s="158" t="s">
        <v>23</v>
      </c>
      <c r="G10" s="162">
        <v>1</v>
      </c>
      <c r="H10" s="162">
        <v>350</v>
      </c>
      <c r="I10" s="160">
        <f t="shared" si="0"/>
        <v>350</v>
      </c>
      <c r="J10" s="122"/>
    </row>
    <row r="11" spans="3:10" ht="49.95" customHeight="1">
      <c r="C11" s="121">
        <v>5</v>
      </c>
      <c r="D11" s="156" t="s">
        <v>225</v>
      </c>
      <c r="E11" s="161"/>
      <c r="F11" s="158" t="s">
        <v>23</v>
      </c>
      <c r="G11" s="162">
        <v>1</v>
      </c>
      <c r="H11" s="162">
        <v>250</v>
      </c>
      <c r="I11" s="160">
        <f t="shared" si="0"/>
        <v>250</v>
      </c>
      <c r="J11" s="122"/>
    </row>
    <row r="12" spans="3:10" ht="49.95" customHeight="1">
      <c r="C12" s="121">
        <v>6</v>
      </c>
      <c r="D12" s="156" t="s">
        <v>226</v>
      </c>
      <c r="E12" s="163"/>
      <c r="F12" s="158" t="s">
        <v>34</v>
      </c>
      <c r="G12" s="162">
        <v>10</v>
      </c>
      <c r="H12" s="162">
        <v>35</v>
      </c>
      <c r="I12" s="160">
        <f t="shared" si="0"/>
        <v>350</v>
      </c>
      <c r="J12" s="122"/>
    </row>
    <row r="13" spans="3:10" ht="49.95" customHeight="1">
      <c r="C13" s="121">
        <v>7</v>
      </c>
      <c r="D13" s="156" t="s">
        <v>227</v>
      </c>
      <c r="E13" s="161"/>
      <c r="F13" s="158" t="s">
        <v>23</v>
      </c>
      <c r="G13" s="162">
        <v>30</v>
      </c>
      <c r="H13" s="162">
        <v>20</v>
      </c>
      <c r="I13" s="160">
        <f t="shared" si="0"/>
        <v>600</v>
      </c>
      <c r="J13" s="122"/>
    </row>
    <row r="14" spans="3:10" ht="49.95" customHeight="1">
      <c r="C14" s="121">
        <v>8</v>
      </c>
      <c r="D14" s="156" t="s">
        <v>108</v>
      </c>
      <c r="E14" s="161"/>
      <c r="F14" s="158" t="s">
        <v>34</v>
      </c>
      <c r="G14" s="162">
        <v>1</v>
      </c>
      <c r="H14" s="162">
        <v>100</v>
      </c>
      <c r="I14" s="160">
        <f t="shared" si="0"/>
        <v>100</v>
      </c>
      <c r="J14" s="122"/>
    </row>
    <row r="15" spans="3:10" ht="49.95" customHeight="1">
      <c r="C15" s="121">
        <v>9</v>
      </c>
      <c r="D15" s="156" t="s">
        <v>228</v>
      </c>
      <c r="E15" s="157"/>
      <c r="F15" s="158" t="s">
        <v>34</v>
      </c>
      <c r="G15" s="162">
        <v>1</v>
      </c>
      <c r="H15" s="162">
        <v>200</v>
      </c>
      <c r="I15" s="164">
        <f t="shared" si="0"/>
        <v>200</v>
      </c>
      <c r="J15" s="120"/>
    </row>
    <row r="16" spans="3:10" ht="49.95" customHeight="1">
      <c r="C16" s="121">
        <v>10</v>
      </c>
      <c r="D16" s="156" t="s">
        <v>230</v>
      </c>
      <c r="E16" s="161"/>
      <c r="F16" s="158" t="s">
        <v>31</v>
      </c>
      <c r="G16" s="162">
        <v>1</v>
      </c>
      <c r="H16" s="162">
        <v>5000</v>
      </c>
      <c r="I16" s="160">
        <f>G16*H16</f>
        <v>5000</v>
      </c>
      <c r="J16" s="122"/>
    </row>
    <row r="17" spans="3:13" ht="49.95" customHeight="1">
      <c r="C17" s="121">
        <v>11</v>
      </c>
      <c r="D17" s="165" t="s">
        <v>208</v>
      </c>
      <c r="E17" s="165"/>
      <c r="F17" s="165"/>
      <c r="G17" s="165"/>
      <c r="H17" s="165"/>
      <c r="I17" s="160">
        <f>G17*H17</f>
        <v>0</v>
      </c>
      <c r="J17" s="122"/>
    </row>
    <row r="18" spans="3:13" ht="49.95" customHeight="1">
      <c r="C18" s="121">
        <v>12</v>
      </c>
      <c r="D18" s="155"/>
      <c r="E18" s="155"/>
      <c r="F18" s="155"/>
      <c r="G18" s="155"/>
      <c r="H18" s="155"/>
      <c r="I18" s="38">
        <f t="shared" si="0"/>
        <v>0</v>
      </c>
      <c r="J18" s="122"/>
    </row>
    <row r="19" spans="3:13" ht="49.95" customHeight="1">
      <c r="C19" s="121">
        <v>13</v>
      </c>
      <c r="D19" s="155"/>
      <c r="E19" s="155"/>
      <c r="F19" s="155"/>
      <c r="G19" s="155"/>
      <c r="H19" s="155"/>
      <c r="I19" s="38">
        <f t="shared" si="0"/>
        <v>0</v>
      </c>
      <c r="J19" s="122"/>
    </row>
    <row r="20" spans="3:13" ht="49.95" customHeight="1">
      <c r="C20" s="121">
        <v>14</v>
      </c>
      <c r="D20" s="155"/>
      <c r="E20" s="155"/>
      <c r="F20" s="155"/>
      <c r="G20" s="155"/>
      <c r="H20" s="155"/>
      <c r="I20" s="38">
        <f t="shared" si="0"/>
        <v>0</v>
      </c>
      <c r="J20" s="122"/>
    </row>
    <row r="21" spans="3:13" ht="49.95" customHeight="1">
      <c r="C21" s="121">
        <v>15</v>
      </c>
      <c r="D21" s="155"/>
      <c r="E21" s="155"/>
      <c r="F21" s="155"/>
      <c r="G21" s="155"/>
      <c r="H21" s="155"/>
      <c r="I21" s="38">
        <f t="shared" si="0"/>
        <v>0</v>
      </c>
      <c r="J21" s="122"/>
    </row>
    <row r="22" spans="3:13" ht="49.95" customHeight="1">
      <c r="C22" s="121">
        <v>16</v>
      </c>
      <c r="D22" s="155"/>
      <c r="E22" s="155"/>
      <c r="F22" s="155"/>
      <c r="G22" s="155"/>
      <c r="H22" s="155"/>
      <c r="I22" s="38">
        <f t="shared" si="0"/>
        <v>0</v>
      </c>
      <c r="J22" s="122"/>
    </row>
    <row r="23" spans="3:13" ht="49.95" customHeight="1">
      <c r="C23" s="121">
        <v>17</v>
      </c>
      <c r="D23" s="155"/>
      <c r="E23" s="155"/>
      <c r="F23" s="155"/>
      <c r="G23" s="155"/>
      <c r="H23" s="155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55"/>
      <c r="E24" s="155"/>
      <c r="F24" s="155"/>
      <c r="G24" s="155"/>
      <c r="H24" s="155"/>
      <c r="I24" s="38"/>
      <c r="J24" s="122"/>
      <c r="L24" s="1"/>
      <c r="M24" s="1"/>
    </row>
    <row r="25" spans="3:13" ht="49.95" customHeight="1">
      <c r="C25" s="121">
        <v>19</v>
      </c>
      <c r="D25" s="155"/>
      <c r="E25" s="155"/>
      <c r="F25" s="155"/>
      <c r="G25" s="155"/>
      <c r="H25" s="155"/>
      <c r="I25" s="38"/>
      <c r="J25" s="122"/>
      <c r="L25" s="1"/>
      <c r="M25" s="1"/>
    </row>
    <row r="26" spans="3:13" ht="49.95" customHeight="1">
      <c r="C26" s="121">
        <v>20</v>
      </c>
      <c r="D26" s="155"/>
      <c r="E26" s="155"/>
      <c r="F26" s="155"/>
      <c r="G26" s="155"/>
      <c r="H26" s="155"/>
      <c r="I26" s="38">
        <f t="shared" si="0"/>
        <v>0</v>
      </c>
      <c r="J26" s="122"/>
    </row>
    <row r="27" spans="3:13" ht="61.8" customHeight="1" thickBot="1">
      <c r="C27" s="183" t="s">
        <v>10</v>
      </c>
      <c r="D27" s="184"/>
      <c r="E27" s="151" t="s">
        <v>4</v>
      </c>
      <c r="F27" s="182">
        <f>IF(SUM(I7:I26)=0,"",SUM(I7:I26))</f>
        <v>15335</v>
      </c>
      <c r="G27" s="182"/>
      <c r="H27" s="152" t="s">
        <v>7</v>
      </c>
      <c r="I27" s="153">
        <f>SUM(I7:I26)</f>
        <v>15335</v>
      </c>
      <c r="J27" s="154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7"/>
  <sheetViews>
    <sheetView showGridLines="0" zoomScale="92" zoomScaleNormal="92" zoomScaleSheetLayoutView="48" workbookViewId="0">
      <selection activeCell="H8" sqref="H8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90.109375" customWidth="1"/>
    <col min="5" max="5" width="18.44140625" customWidth="1"/>
    <col min="6" max="6" width="15.33203125" customWidth="1"/>
    <col min="7" max="7" width="23.109375" customWidth="1"/>
    <col min="8" max="8" width="24.44140625" customWidth="1"/>
    <col min="9" max="9" width="26" customWidth="1"/>
    <col min="10" max="10" width="18.6640625" customWidth="1"/>
    <col min="11" max="11" width="5.77734375" customWidth="1"/>
  </cols>
  <sheetData>
    <row r="1" spans="3:10" ht="33" customHeight="1"/>
    <row r="2" spans="3:10" ht="61.2">
      <c r="D2" s="185" t="s">
        <v>13</v>
      </c>
      <c r="E2" s="185"/>
      <c r="F2" s="185"/>
      <c r="G2" s="185"/>
      <c r="H2" s="185"/>
      <c r="I2" s="185"/>
      <c r="J2" s="185"/>
    </row>
    <row r="3" spans="3:10" ht="49.95" customHeight="1">
      <c r="D3" s="186" t="s">
        <v>8</v>
      </c>
      <c r="E3" s="186"/>
      <c r="F3" s="186"/>
      <c r="G3" s="186"/>
      <c r="H3" s="186"/>
      <c r="I3" s="186"/>
      <c r="J3" s="186"/>
    </row>
    <row r="4" spans="3:10" ht="49.95" customHeight="1">
      <c r="D4" s="115" t="s">
        <v>214</v>
      </c>
      <c r="E4" s="116"/>
      <c r="F4" s="2"/>
      <c r="G4" s="2"/>
      <c r="H4" s="2"/>
      <c r="I4" s="2"/>
    </row>
    <row r="5" spans="3:10" ht="49.95" customHeight="1" thickBot="1">
      <c r="D5" s="114" t="s">
        <v>200</v>
      </c>
      <c r="E5" s="2"/>
      <c r="F5" s="2"/>
      <c r="G5" s="2"/>
      <c r="H5" s="2"/>
      <c r="I5" s="2"/>
    </row>
    <row r="6" spans="3:10" ht="49.95" customHeight="1" thickBot="1">
      <c r="C6" s="123" t="s">
        <v>185</v>
      </c>
      <c r="D6" s="124" t="s">
        <v>9</v>
      </c>
      <c r="E6" s="124" t="s">
        <v>0</v>
      </c>
      <c r="F6" s="124" t="s">
        <v>87</v>
      </c>
      <c r="G6" s="125" t="s">
        <v>1</v>
      </c>
      <c r="H6" s="124" t="s">
        <v>2</v>
      </c>
      <c r="I6" s="124" t="s">
        <v>3</v>
      </c>
      <c r="J6" s="126" t="s">
        <v>5</v>
      </c>
    </row>
    <row r="7" spans="3:10" ht="58.05" customHeight="1" thickTop="1">
      <c r="C7" s="131">
        <v>1</v>
      </c>
      <c r="D7" s="132" t="s">
        <v>216</v>
      </c>
      <c r="E7" s="133"/>
      <c r="F7" s="134" t="s">
        <v>209</v>
      </c>
      <c r="G7" s="135">
        <v>20</v>
      </c>
      <c r="H7" s="135">
        <v>16000</v>
      </c>
      <c r="I7" s="136">
        <f t="shared" ref="I7:I26" si="0">G7*H7</f>
        <v>320000</v>
      </c>
      <c r="J7" s="137"/>
    </row>
    <row r="8" spans="3:10" ht="64.05" customHeight="1">
      <c r="C8" s="118">
        <v>2</v>
      </c>
      <c r="D8" s="106" t="s">
        <v>220</v>
      </c>
      <c r="E8" s="144" t="s">
        <v>219</v>
      </c>
      <c r="F8" s="117" t="s">
        <v>221</v>
      </c>
      <c r="G8" s="108">
        <v>4</v>
      </c>
      <c r="H8" s="111">
        <v>14000</v>
      </c>
      <c r="I8" s="109">
        <f t="shared" si="0"/>
        <v>56000</v>
      </c>
      <c r="J8" s="120"/>
    </row>
    <row r="9" spans="3:10" ht="60" customHeight="1">
      <c r="C9" s="118">
        <v>3</v>
      </c>
      <c r="D9" s="106" t="s">
        <v>217</v>
      </c>
      <c r="E9" s="110"/>
      <c r="F9" s="107" t="s">
        <v>209</v>
      </c>
      <c r="G9" s="111">
        <v>20</v>
      </c>
      <c r="H9" s="111">
        <v>2000</v>
      </c>
      <c r="I9" s="109">
        <f t="shared" si="0"/>
        <v>40000</v>
      </c>
      <c r="J9" s="119"/>
    </row>
    <row r="10" spans="3:10" ht="60" customHeight="1">
      <c r="C10" s="118">
        <v>4</v>
      </c>
      <c r="D10" s="106" t="s">
        <v>210</v>
      </c>
      <c r="E10" s="110"/>
      <c r="F10" s="107" t="s">
        <v>31</v>
      </c>
      <c r="G10" s="111">
        <v>1</v>
      </c>
      <c r="H10" s="111">
        <v>20000</v>
      </c>
      <c r="I10" s="109">
        <f t="shared" si="0"/>
        <v>20000</v>
      </c>
      <c r="J10" s="119"/>
    </row>
    <row r="11" spans="3:10" ht="55.95" customHeight="1">
      <c r="C11" s="118">
        <v>5</v>
      </c>
      <c r="D11" s="112" t="s">
        <v>211</v>
      </c>
      <c r="E11" s="1"/>
      <c r="F11" s="107"/>
      <c r="G11" s="111"/>
      <c r="H11" s="111"/>
      <c r="I11" s="109">
        <f t="shared" si="0"/>
        <v>0</v>
      </c>
      <c r="J11" s="119"/>
    </row>
    <row r="12" spans="3:10" ht="49.95" customHeight="1">
      <c r="C12" s="121">
        <v>6</v>
      </c>
      <c r="D12" s="105" t="s">
        <v>218</v>
      </c>
      <c r="E12" s="113"/>
      <c r="F12" s="107"/>
      <c r="G12" s="111"/>
      <c r="H12" s="111"/>
      <c r="I12" s="109">
        <f t="shared" si="0"/>
        <v>0</v>
      </c>
      <c r="J12" s="122"/>
    </row>
    <row r="13" spans="3:10" ht="49.95" customHeight="1">
      <c r="C13" s="121">
        <v>7</v>
      </c>
      <c r="D13" s="105" t="s">
        <v>212</v>
      </c>
      <c r="E13" s="10"/>
      <c r="F13" s="103"/>
      <c r="G13" s="11"/>
      <c r="H13" s="11"/>
      <c r="I13" s="38">
        <f t="shared" si="0"/>
        <v>0</v>
      </c>
      <c r="J13" s="122"/>
    </row>
    <row r="14" spans="3:10" ht="49.95" customHeight="1">
      <c r="C14" s="121">
        <v>8</v>
      </c>
      <c r="D14" s="105" t="s">
        <v>213</v>
      </c>
      <c r="E14" s="10"/>
      <c r="F14" s="103"/>
      <c r="G14" s="11"/>
      <c r="H14" s="11"/>
      <c r="I14" s="38">
        <f t="shared" si="0"/>
        <v>0</v>
      </c>
      <c r="J14" s="122"/>
    </row>
    <row r="15" spans="3:10" ht="49.95" customHeight="1">
      <c r="C15" s="121">
        <v>9</v>
      </c>
      <c r="D15" s="112" t="s">
        <v>215</v>
      </c>
      <c r="E15" s="10"/>
      <c r="F15" s="103"/>
      <c r="G15" s="11"/>
      <c r="H15" s="11"/>
      <c r="I15" s="38">
        <f t="shared" si="0"/>
        <v>0</v>
      </c>
      <c r="J15" s="122"/>
    </row>
    <row r="16" spans="3:10" ht="49.95" customHeight="1">
      <c r="C16" s="121">
        <v>10</v>
      </c>
      <c r="D16" s="34"/>
      <c r="E16" s="10"/>
      <c r="F16" s="103"/>
      <c r="G16" s="88"/>
      <c r="H16" s="88"/>
      <c r="I16" s="38">
        <f t="shared" si="0"/>
        <v>0</v>
      </c>
      <c r="J16" s="122"/>
    </row>
    <row r="17" spans="3:13" ht="49.95" customHeight="1">
      <c r="C17" s="121">
        <v>11</v>
      </c>
      <c r="D17" s="92"/>
      <c r="E17" s="34"/>
      <c r="F17" s="103"/>
      <c r="G17" s="88"/>
      <c r="H17" s="88"/>
      <c r="I17" s="38">
        <f t="shared" si="0"/>
        <v>0</v>
      </c>
      <c r="J17" s="122"/>
    </row>
    <row r="18" spans="3:13" ht="49.95" customHeight="1">
      <c r="C18" s="121">
        <v>12</v>
      </c>
      <c r="D18" s="92"/>
      <c r="E18" s="11"/>
      <c r="F18" s="103"/>
      <c r="G18" s="11"/>
      <c r="H18" s="11"/>
      <c r="I18" s="38">
        <f t="shared" si="0"/>
        <v>0</v>
      </c>
      <c r="J18" s="122"/>
    </row>
    <row r="19" spans="3:13" ht="49.95" customHeight="1">
      <c r="C19" s="121">
        <v>13</v>
      </c>
      <c r="D19" s="92"/>
      <c r="E19" s="11"/>
      <c r="F19" s="103"/>
      <c r="G19" s="11"/>
      <c r="H19" s="11"/>
      <c r="I19" s="38">
        <f t="shared" si="0"/>
        <v>0</v>
      </c>
      <c r="J19" s="122"/>
    </row>
    <row r="20" spans="3:13" ht="49.95" customHeight="1">
      <c r="C20" s="121">
        <v>14</v>
      </c>
      <c r="D20" s="10"/>
      <c r="E20" s="11"/>
      <c r="F20" s="104"/>
      <c r="G20" s="11"/>
      <c r="H20" s="11"/>
      <c r="I20" s="38">
        <f t="shared" si="0"/>
        <v>0</v>
      </c>
      <c r="J20" s="122"/>
    </row>
    <row r="21" spans="3:13" ht="49.95" customHeight="1">
      <c r="C21" s="121">
        <v>15</v>
      </c>
      <c r="D21" s="10"/>
      <c r="E21" s="11"/>
      <c r="F21" s="104"/>
      <c r="G21" s="11"/>
      <c r="H21" s="11"/>
      <c r="I21" s="38">
        <f t="shared" si="0"/>
        <v>0</v>
      </c>
      <c r="J21" s="122"/>
    </row>
    <row r="22" spans="3:13" ht="49.95" customHeight="1">
      <c r="C22" s="121">
        <v>16</v>
      </c>
      <c r="D22" s="10"/>
      <c r="E22" s="11"/>
      <c r="F22" s="73"/>
      <c r="G22" s="11"/>
      <c r="H22" s="11"/>
      <c r="I22" s="38">
        <f t="shared" si="0"/>
        <v>0</v>
      </c>
      <c r="J22" s="122"/>
    </row>
    <row r="23" spans="3:13" ht="49.95" customHeight="1">
      <c r="C23" s="121">
        <v>17</v>
      </c>
      <c r="D23" s="10"/>
      <c r="E23" s="11"/>
      <c r="F23" s="73"/>
      <c r="G23" s="11"/>
      <c r="H23" s="11"/>
      <c r="I23" s="38">
        <f t="shared" si="0"/>
        <v>0</v>
      </c>
      <c r="J23" s="122"/>
      <c r="L23" s="1"/>
      <c r="M23" s="1"/>
    </row>
    <row r="24" spans="3:13" ht="49.95" customHeight="1">
      <c r="C24" s="121">
        <v>18</v>
      </c>
      <c r="D24" s="10"/>
      <c r="E24" s="11"/>
      <c r="F24" s="73"/>
      <c r="G24" s="11"/>
      <c r="H24" s="11"/>
      <c r="I24" s="38"/>
      <c r="J24" s="122"/>
      <c r="L24" s="1"/>
      <c r="M24" s="1"/>
    </row>
    <row r="25" spans="3:13" ht="49.95" customHeight="1">
      <c r="C25" s="121">
        <v>19</v>
      </c>
      <c r="D25" s="10"/>
      <c r="E25" s="11"/>
      <c r="F25" s="73"/>
      <c r="G25" s="11"/>
      <c r="H25" s="11"/>
      <c r="I25" s="38"/>
      <c r="J25" s="122"/>
      <c r="L25" s="1"/>
      <c r="M25" s="1"/>
    </row>
    <row r="26" spans="3:13" ht="49.95" customHeight="1" thickBot="1">
      <c r="C26" s="138">
        <v>20</v>
      </c>
      <c r="D26" s="139"/>
      <c r="E26" s="140"/>
      <c r="F26" s="141"/>
      <c r="G26" s="140"/>
      <c r="H26" s="140"/>
      <c r="I26" s="142">
        <f t="shared" si="0"/>
        <v>0</v>
      </c>
      <c r="J26" s="143"/>
    </row>
    <row r="27" spans="3:13" ht="61.8" customHeight="1" thickTop="1" thickBot="1">
      <c r="C27" s="187" t="s">
        <v>10</v>
      </c>
      <c r="D27" s="188"/>
      <c r="E27" s="127" t="s">
        <v>4</v>
      </c>
      <c r="F27" s="189">
        <f>IF(SUM(I7:I26)=0,"",SUM(I7:I26))</f>
        <v>436000</v>
      </c>
      <c r="G27" s="189"/>
      <c r="H27" s="128" t="s">
        <v>7</v>
      </c>
      <c r="I27" s="129">
        <f>SUM(I7:I26)</f>
        <v>436000</v>
      </c>
      <c r="J27" s="130"/>
    </row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8"/>
  <sheetViews>
    <sheetView view="pageBreakPreview" topLeftCell="A25" zoomScale="142" zoomScaleNormal="100" zoomScaleSheetLayoutView="142" workbookViewId="0">
      <selection activeCell="T9" sqref="T9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62.77734375" customWidth="1"/>
    <col min="5" max="5" width="18.109375" customWidth="1"/>
    <col min="6" max="6" width="15.33203125" customWidth="1"/>
    <col min="7" max="7" width="23.109375" customWidth="1"/>
    <col min="8" max="8" width="24.44140625" customWidth="1"/>
    <col min="9" max="9" width="22.33203125" customWidth="1"/>
    <col min="10" max="10" width="16.77734375" customWidth="1"/>
    <col min="11" max="11" width="5.77734375" customWidth="1"/>
  </cols>
  <sheetData>
    <row r="1" spans="3:10" ht="33" customHeight="1"/>
    <row r="2" spans="3:10" ht="46.2">
      <c r="D2" s="190" t="s">
        <v>13</v>
      </c>
      <c r="E2" s="190"/>
      <c r="F2" s="190"/>
      <c r="G2" s="190"/>
      <c r="H2" s="190"/>
      <c r="I2" s="190"/>
      <c r="J2" s="190"/>
    </row>
    <row r="3" spans="3:10" ht="49.95" customHeight="1">
      <c r="D3" s="191" t="s">
        <v>8</v>
      </c>
      <c r="E3" s="191"/>
      <c r="F3" s="191"/>
      <c r="G3" s="191"/>
      <c r="H3" s="191"/>
      <c r="I3" s="191"/>
      <c r="J3" s="191"/>
    </row>
    <row r="4" spans="3:10" ht="49.95" customHeight="1">
      <c r="D4" s="31" t="s">
        <v>201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200</v>
      </c>
      <c r="E5" s="2"/>
      <c r="F5" s="2"/>
      <c r="G5" s="2"/>
      <c r="H5" s="2"/>
      <c r="I5" s="2"/>
    </row>
    <row r="6" spans="3:10" ht="49.95" customHeight="1" thickTop="1" thickBot="1">
      <c r="C6" s="97" t="s">
        <v>185</v>
      </c>
      <c r="D6" s="98" t="s">
        <v>9</v>
      </c>
      <c r="E6" s="98" t="s">
        <v>0</v>
      </c>
      <c r="F6" s="98" t="s">
        <v>87</v>
      </c>
      <c r="G6" s="99" t="s">
        <v>1</v>
      </c>
      <c r="H6" s="98" t="s">
        <v>2</v>
      </c>
      <c r="I6" s="98" t="s">
        <v>3</v>
      </c>
      <c r="J6" s="100" t="s">
        <v>5</v>
      </c>
    </row>
    <row r="7" spans="3:10" ht="49.95" customHeight="1" thickTop="1">
      <c r="C7" s="91">
        <v>1</v>
      </c>
      <c r="D7" s="92" t="s">
        <v>207</v>
      </c>
      <c r="F7" s="103" t="s">
        <v>31</v>
      </c>
      <c r="G7" s="94">
        <v>1</v>
      </c>
      <c r="H7" s="94">
        <v>35000</v>
      </c>
      <c r="I7" s="38">
        <f t="shared" ref="I7:I26" si="0">G7*H7</f>
        <v>35000</v>
      </c>
      <c r="J7" s="96"/>
    </row>
    <row r="8" spans="3:10" ht="51.45" customHeight="1">
      <c r="C8" s="30">
        <v>2</v>
      </c>
      <c r="D8" s="92" t="s">
        <v>202</v>
      </c>
      <c r="E8" s="10"/>
      <c r="F8" s="103" t="s">
        <v>31</v>
      </c>
      <c r="G8" s="94">
        <v>1</v>
      </c>
      <c r="H8" s="11">
        <v>5000</v>
      </c>
      <c r="I8" s="38">
        <f t="shared" si="0"/>
        <v>5000</v>
      </c>
      <c r="J8" s="14"/>
    </row>
    <row r="9" spans="3:10" ht="49.95" customHeight="1">
      <c r="C9" s="30">
        <v>3</v>
      </c>
      <c r="D9" s="92" t="s">
        <v>203</v>
      </c>
      <c r="E9" s="10"/>
      <c r="F9" s="103"/>
      <c r="G9" s="11"/>
      <c r="H9" s="11"/>
      <c r="I9" s="38">
        <f t="shared" si="0"/>
        <v>0</v>
      </c>
      <c r="J9" s="14"/>
    </row>
    <row r="10" spans="3:10" ht="49.95" customHeight="1">
      <c r="C10" s="30">
        <v>4</v>
      </c>
      <c r="D10" s="92" t="s">
        <v>204</v>
      </c>
      <c r="E10" s="10"/>
      <c r="F10" s="103"/>
      <c r="G10" s="11">
        <v>1</v>
      </c>
      <c r="H10" s="11">
        <v>10000</v>
      </c>
      <c r="I10" s="38">
        <f t="shared" si="0"/>
        <v>10000</v>
      </c>
      <c r="J10" s="14"/>
    </row>
    <row r="11" spans="3:10" ht="49.95" customHeight="1">
      <c r="C11" s="30">
        <v>5</v>
      </c>
      <c r="D11" s="92" t="s">
        <v>205</v>
      </c>
      <c r="E11" s="10"/>
      <c r="F11" s="103" t="s">
        <v>23</v>
      </c>
      <c r="G11" s="11">
        <v>6</v>
      </c>
      <c r="H11" s="11">
        <v>500</v>
      </c>
      <c r="I11" s="38">
        <f t="shared" si="0"/>
        <v>3000</v>
      </c>
      <c r="J11" s="14"/>
    </row>
    <row r="12" spans="3:10" ht="49.95" customHeight="1">
      <c r="C12" s="30">
        <v>6</v>
      </c>
      <c r="D12" s="92" t="s">
        <v>206</v>
      </c>
      <c r="E12" s="34"/>
      <c r="F12" s="103" t="s">
        <v>23</v>
      </c>
      <c r="G12" s="11">
        <v>3</v>
      </c>
      <c r="H12" s="11">
        <v>500</v>
      </c>
      <c r="I12" s="38">
        <f t="shared" si="0"/>
        <v>1500</v>
      </c>
      <c r="J12" s="14"/>
    </row>
    <row r="13" spans="3:10" ht="49.95" customHeight="1">
      <c r="C13" s="30">
        <v>7</v>
      </c>
      <c r="D13" s="92" t="s">
        <v>208</v>
      </c>
      <c r="E13" s="10"/>
      <c r="F13" s="103"/>
      <c r="G13" s="11"/>
      <c r="H13" s="11"/>
      <c r="I13" s="38">
        <f t="shared" si="0"/>
        <v>0</v>
      </c>
      <c r="J13" s="14"/>
    </row>
    <row r="14" spans="3:10" ht="49.95" customHeight="1">
      <c r="C14" s="30">
        <v>8</v>
      </c>
      <c r="D14" s="92"/>
      <c r="E14" s="10"/>
      <c r="F14" s="103"/>
      <c r="G14" s="11"/>
      <c r="H14" s="11"/>
      <c r="I14" s="38">
        <f t="shared" si="0"/>
        <v>0</v>
      </c>
      <c r="J14" s="14"/>
    </row>
    <row r="15" spans="3:10" ht="49.95" customHeight="1">
      <c r="C15" s="30">
        <v>9</v>
      </c>
      <c r="D15" s="92"/>
      <c r="E15" s="10"/>
      <c r="F15" s="103"/>
      <c r="G15" s="11"/>
      <c r="H15" s="11"/>
      <c r="I15" s="38">
        <f t="shared" si="0"/>
        <v>0</v>
      </c>
      <c r="J15" s="14"/>
    </row>
    <row r="16" spans="3:10" ht="49.95" customHeight="1">
      <c r="C16" s="30">
        <v>10</v>
      </c>
      <c r="D16" s="92"/>
      <c r="E16" s="10"/>
      <c r="F16" s="103"/>
      <c r="G16" s="88"/>
      <c r="H16" s="88"/>
      <c r="I16" s="38">
        <f t="shared" si="0"/>
        <v>0</v>
      </c>
      <c r="J16" s="14"/>
    </row>
    <row r="17" spans="3:13" ht="49.95" customHeight="1">
      <c r="C17" s="30">
        <v>11</v>
      </c>
      <c r="D17" s="92"/>
      <c r="E17" s="34"/>
      <c r="F17" s="103"/>
      <c r="G17" s="88"/>
      <c r="H17" s="88"/>
      <c r="I17" s="38">
        <f t="shared" si="0"/>
        <v>0</v>
      </c>
      <c r="J17" s="14"/>
    </row>
    <row r="18" spans="3:13" ht="49.95" customHeight="1">
      <c r="C18" s="30">
        <v>12</v>
      </c>
      <c r="D18" s="92"/>
      <c r="E18" s="11"/>
      <c r="F18" s="103"/>
      <c r="G18" s="11"/>
      <c r="H18" s="11"/>
      <c r="I18" s="38">
        <f t="shared" si="0"/>
        <v>0</v>
      </c>
      <c r="J18" s="14"/>
    </row>
    <row r="19" spans="3:13" ht="49.95" customHeight="1">
      <c r="C19" s="30">
        <v>13</v>
      </c>
      <c r="D19" s="92"/>
      <c r="E19" s="11"/>
      <c r="F19" s="103"/>
      <c r="G19" s="11"/>
      <c r="H19" s="11"/>
      <c r="I19" s="38">
        <f t="shared" si="0"/>
        <v>0</v>
      </c>
      <c r="J19" s="14"/>
    </row>
    <row r="20" spans="3:13" ht="49.95" customHeight="1">
      <c r="C20" s="30">
        <v>14</v>
      </c>
      <c r="D20" s="10"/>
      <c r="E20" s="11"/>
      <c r="F20" s="104"/>
      <c r="G20" s="11"/>
      <c r="H20" s="11"/>
      <c r="I20" s="38">
        <f t="shared" si="0"/>
        <v>0</v>
      </c>
      <c r="J20" s="14"/>
    </row>
    <row r="21" spans="3:13" ht="49.95" customHeight="1">
      <c r="C21" s="30">
        <v>15</v>
      </c>
      <c r="D21" s="10"/>
      <c r="E21" s="11"/>
      <c r="F21" s="104"/>
      <c r="G21" s="11"/>
      <c r="H21" s="11"/>
      <c r="I21" s="38">
        <f t="shared" si="0"/>
        <v>0</v>
      </c>
      <c r="J21" s="14"/>
    </row>
    <row r="22" spans="3:13" ht="49.95" customHeight="1">
      <c r="C22" s="30">
        <v>16</v>
      </c>
      <c r="D22" s="10"/>
      <c r="E22" s="11"/>
      <c r="F22" s="73"/>
      <c r="G22" s="11"/>
      <c r="H22" s="11"/>
      <c r="I22" s="38">
        <f t="shared" si="0"/>
        <v>0</v>
      </c>
      <c r="J22" s="14"/>
    </row>
    <row r="23" spans="3:13" ht="49.95" customHeight="1">
      <c r="C23" s="30">
        <v>17</v>
      </c>
      <c r="D23" s="10"/>
      <c r="E23" s="11"/>
      <c r="F23" s="73"/>
      <c r="G23" s="11"/>
      <c r="H23" s="11"/>
      <c r="I23" s="38">
        <f t="shared" si="0"/>
        <v>0</v>
      </c>
      <c r="J23" s="14"/>
      <c r="L23" s="1"/>
      <c r="M23" s="1"/>
    </row>
    <row r="24" spans="3:13" ht="49.95" customHeight="1">
      <c r="C24" s="30">
        <v>18</v>
      </c>
      <c r="D24" s="10"/>
      <c r="E24" s="11"/>
      <c r="F24" s="73"/>
      <c r="G24" s="11"/>
      <c r="H24" s="11"/>
      <c r="I24" s="38"/>
      <c r="J24" s="14"/>
      <c r="L24" s="1"/>
      <c r="M24" s="1"/>
    </row>
    <row r="25" spans="3:13" ht="49.95" customHeight="1">
      <c r="C25" s="30">
        <v>19</v>
      </c>
      <c r="D25" s="10"/>
      <c r="E25" s="11"/>
      <c r="F25" s="73"/>
      <c r="G25" s="11"/>
      <c r="H25" s="11"/>
      <c r="I25" s="38"/>
      <c r="J25" s="14"/>
      <c r="L25" s="1"/>
      <c r="M25" s="1"/>
    </row>
    <row r="26" spans="3:13" ht="49.95" customHeight="1">
      <c r="C26" s="30">
        <v>20</v>
      </c>
      <c r="D26" s="10"/>
      <c r="E26" s="11"/>
      <c r="F26" s="73"/>
      <c r="G26" s="11"/>
      <c r="H26" s="11"/>
      <c r="I26" s="38">
        <f t="shared" si="0"/>
        <v>0</v>
      </c>
      <c r="J26" s="14"/>
    </row>
    <row r="27" spans="3:13" ht="61.8" customHeight="1" thickBot="1">
      <c r="C27" s="192" t="s">
        <v>10</v>
      </c>
      <c r="D27" s="193"/>
      <c r="E27" s="89" t="s">
        <v>4</v>
      </c>
      <c r="F27" s="194">
        <f>IF(SUM(I7:I26)=0,"",SUM(I7:I26))</f>
        <v>54500</v>
      </c>
      <c r="G27" s="194"/>
      <c r="H27" s="102" t="s">
        <v>7</v>
      </c>
      <c r="I27" s="90">
        <f>SUM(I7:I26)</f>
        <v>54500</v>
      </c>
      <c r="J27" s="101"/>
    </row>
    <row r="28" spans="3:13" ht="16.8" thickTop="1"/>
  </sheetData>
  <mergeCells count="4">
    <mergeCell ref="D2:J2"/>
    <mergeCell ref="D3:J3"/>
    <mergeCell ref="C27:D27"/>
    <mergeCell ref="F27:G27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26"/>
  <sheetViews>
    <sheetView showGridLines="0" topLeftCell="A19" zoomScaleNormal="100" zoomScaleSheetLayoutView="94" workbookViewId="0">
      <selection activeCell="K26" sqref="B1:K26"/>
    </sheetView>
  </sheetViews>
  <sheetFormatPr defaultColWidth="8.77734375" defaultRowHeight="16.2"/>
  <cols>
    <col min="1" max="1" width="2" customWidth="1"/>
    <col min="2" max="2" width="4.33203125" customWidth="1"/>
    <col min="3" max="3" width="10.6640625" customWidth="1"/>
    <col min="4" max="4" width="55" customWidth="1"/>
    <col min="5" max="5" width="21.44140625" customWidth="1"/>
    <col min="6" max="6" width="25.77734375" customWidth="1"/>
    <col min="7" max="7" width="23.109375" customWidth="1"/>
    <col min="8" max="8" width="24.44140625" customWidth="1"/>
    <col min="9" max="9" width="22.33203125" customWidth="1"/>
    <col min="10" max="10" width="14.77734375" customWidth="1"/>
    <col min="11" max="11" width="5.77734375" customWidth="1"/>
  </cols>
  <sheetData>
    <row r="1" spans="3:10" ht="33" customHeight="1"/>
    <row r="2" spans="3:10" ht="46.2">
      <c r="D2" s="190" t="s">
        <v>13</v>
      </c>
      <c r="E2" s="190"/>
      <c r="F2" s="190"/>
      <c r="G2" s="190"/>
      <c r="H2" s="190"/>
      <c r="I2" s="190"/>
      <c r="J2" s="190"/>
    </row>
    <row r="3" spans="3:10" ht="49.95" customHeight="1">
      <c r="D3" s="191" t="s">
        <v>8</v>
      </c>
      <c r="E3" s="191"/>
      <c r="F3" s="191"/>
      <c r="G3" s="191"/>
      <c r="H3" s="191"/>
      <c r="I3" s="191"/>
      <c r="J3" s="191"/>
    </row>
    <row r="4" spans="3:10" ht="49.95" customHeight="1">
      <c r="D4" s="31" t="s">
        <v>233</v>
      </c>
      <c r="E4" s="3" t="s">
        <v>14</v>
      </c>
      <c r="F4" s="2"/>
      <c r="G4" s="2"/>
      <c r="H4" s="2"/>
      <c r="I4" s="2"/>
    </row>
    <row r="5" spans="3:10" ht="49.95" customHeight="1" thickBot="1">
      <c r="D5" s="2" t="s">
        <v>179</v>
      </c>
      <c r="E5" s="2"/>
      <c r="F5" s="2"/>
      <c r="G5" s="2"/>
      <c r="H5" s="2"/>
      <c r="I5" s="2"/>
    </row>
    <row r="6" spans="3:10" ht="49.95" customHeight="1" thickTop="1" thickBot="1">
      <c r="C6" s="97" t="s">
        <v>185</v>
      </c>
      <c r="D6" s="98" t="s">
        <v>9</v>
      </c>
      <c r="E6" s="98" t="s">
        <v>0</v>
      </c>
      <c r="F6" s="98" t="s">
        <v>87</v>
      </c>
      <c r="G6" s="99" t="s">
        <v>1</v>
      </c>
      <c r="H6" s="98" t="s">
        <v>2</v>
      </c>
      <c r="I6" s="98" t="s">
        <v>3</v>
      </c>
      <c r="J6" s="100" t="s">
        <v>5</v>
      </c>
    </row>
    <row r="7" spans="3:10" ht="49.95" customHeight="1" thickTop="1">
      <c r="C7" s="91">
        <v>1</v>
      </c>
      <c r="D7" s="92" t="s">
        <v>181</v>
      </c>
      <c r="E7" s="92" t="s">
        <v>180</v>
      </c>
      <c r="F7" s="93" t="s">
        <v>195</v>
      </c>
      <c r="G7" s="94">
        <v>9</v>
      </c>
      <c r="H7" s="94">
        <v>1250</v>
      </c>
      <c r="I7" s="95">
        <f t="shared" ref="I7:I24" si="0">G7*H7</f>
        <v>11250</v>
      </c>
      <c r="J7" s="96"/>
    </row>
    <row r="8" spans="3:10" ht="51.45" customHeight="1">
      <c r="C8" s="30">
        <v>2</v>
      </c>
      <c r="D8" s="92" t="s">
        <v>182</v>
      </c>
      <c r="E8" s="10"/>
      <c r="F8" s="93" t="s">
        <v>195</v>
      </c>
      <c r="G8" s="11">
        <v>105</v>
      </c>
      <c r="H8" s="11">
        <v>1050</v>
      </c>
      <c r="I8" s="38">
        <f t="shared" si="0"/>
        <v>110250</v>
      </c>
      <c r="J8" s="14"/>
    </row>
    <row r="9" spans="3:10" ht="49.95" customHeight="1">
      <c r="C9" s="30">
        <v>3</v>
      </c>
      <c r="D9" s="92" t="s">
        <v>186</v>
      </c>
      <c r="E9" s="10"/>
      <c r="F9" s="93" t="s">
        <v>196</v>
      </c>
      <c r="G9" s="11">
        <v>6</v>
      </c>
      <c r="H9" s="11">
        <v>150</v>
      </c>
      <c r="I9" s="38">
        <f t="shared" si="0"/>
        <v>900</v>
      </c>
      <c r="J9" s="14"/>
    </row>
    <row r="10" spans="3:10" ht="49.95" customHeight="1">
      <c r="C10" s="30">
        <v>4</v>
      </c>
      <c r="D10" s="92" t="s">
        <v>187</v>
      </c>
      <c r="E10" s="10"/>
      <c r="F10" s="93" t="s">
        <v>196</v>
      </c>
      <c r="G10" s="11">
        <v>6</v>
      </c>
      <c r="H10" s="11">
        <v>150</v>
      </c>
      <c r="I10" s="38">
        <f t="shared" si="0"/>
        <v>900</v>
      </c>
      <c r="J10" s="14"/>
    </row>
    <row r="11" spans="3:10" ht="49.95" customHeight="1">
      <c r="C11" s="30">
        <v>5</v>
      </c>
      <c r="D11" s="92" t="s">
        <v>188</v>
      </c>
      <c r="E11" s="10"/>
      <c r="F11" s="93" t="s">
        <v>195</v>
      </c>
      <c r="G11" s="11">
        <v>40</v>
      </c>
      <c r="H11" s="11">
        <v>145</v>
      </c>
      <c r="I11" s="38">
        <f t="shared" si="0"/>
        <v>5800</v>
      </c>
      <c r="J11" s="14"/>
    </row>
    <row r="12" spans="3:10" ht="49.95" customHeight="1">
      <c r="C12" s="30">
        <v>6</v>
      </c>
      <c r="D12" s="92" t="s">
        <v>183</v>
      </c>
      <c r="E12" s="34"/>
      <c r="F12" s="93" t="s">
        <v>197</v>
      </c>
      <c r="G12" s="11">
        <v>4</v>
      </c>
      <c r="H12" s="11">
        <v>1500</v>
      </c>
      <c r="I12" s="38">
        <f t="shared" si="0"/>
        <v>6000</v>
      </c>
      <c r="J12" s="14"/>
    </row>
    <row r="13" spans="3:10" ht="49.95" customHeight="1">
      <c r="C13" s="30">
        <v>7</v>
      </c>
      <c r="D13" s="92" t="s">
        <v>184</v>
      </c>
      <c r="E13" s="10"/>
      <c r="F13" s="93" t="s">
        <v>197</v>
      </c>
      <c r="G13" s="11">
        <v>2</v>
      </c>
      <c r="H13" s="11">
        <v>1000</v>
      </c>
      <c r="I13" s="38">
        <f t="shared" si="0"/>
        <v>2000</v>
      </c>
      <c r="J13" s="14"/>
    </row>
    <row r="14" spans="3:10" ht="49.95" customHeight="1">
      <c r="C14" s="30">
        <v>8</v>
      </c>
      <c r="D14" s="92" t="s">
        <v>189</v>
      </c>
      <c r="E14" s="10"/>
      <c r="F14" s="93" t="s">
        <v>198</v>
      </c>
      <c r="G14" s="11">
        <v>2</v>
      </c>
      <c r="H14" s="11">
        <v>150</v>
      </c>
      <c r="I14" s="38">
        <f t="shared" si="0"/>
        <v>300</v>
      </c>
      <c r="J14" s="14"/>
    </row>
    <row r="15" spans="3:10" ht="49.95" customHeight="1">
      <c r="C15" s="30">
        <v>9</v>
      </c>
      <c r="D15" s="92" t="s">
        <v>190</v>
      </c>
      <c r="E15" s="10"/>
      <c r="F15" s="93" t="s">
        <v>198</v>
      </c>
      <c r="G15" s="11">
        <v>2</v>
      </c>
      <c r="H15" s="11">
        <v>350</v>
      </c>
      <c r="I15" s="38">
        <f t="shared" si="0"/>
        <v>700</v>
      </c>
      <c r="J15" s="14"/>
    </row>
    <row r="16" spans="3:10" ht="49.95" customHeight="1">
      <c r="C16" s="30">
        <v>10</v>
      </c>
      <c r="D16" s="92" t="s">
        <v>191</v>
      </c>
      <c r="E16" s="10"/>
      <c r="F16" s="93" t="s">
        <v>198</v>
      </c>
      <c r="G16" s="88">
        <v>4</v>
      </c>
      <c r="H16" s="88">
        <v>850</v>
      </c>
      <c r="I16" s="38">
        <f t="shared" si="0"/>
        <v>3400</v>
      </c>
      <c r="J16" s="14"/>
    </row>
    <row r="17" spans="3:13" ht="49.95" customHeight="1">
      <c r="C17" s="30">
        <v>11</v>
      </c>
      <c r="D17" s="92" t="s">
        <v>192</v>
      </c>
      <c r="E17" s="34"/>
      <c r="F17" s="93" t="s">
        <v>199</v>
      </c>
      <c r="G17" s="88">
        <v>1</v>
      </c>
      <c r="H17" s="88">
        <v>1000</v>
      </c>
      <c r="I17" s="38">
        <f t="shared" si="0"/>
        <v>1000</v>
      </c>
      <c r="J17" s="14"/>
    </row>
    <row r="18" spans="3:13" ht="49.95" customHeight="1">
      <c r="C18" s="30">
        <v>12</v>
      </c>
      <c r="D18" s="92" t="s">
        <v>193</v>
      </c>
      <c r="E18" s="11"/>
      <c r="F18" s="93" t="s">
        <v>199</v>
      </c>
      <c r="G18" s="11">
        <v>1</v>
      </c>
      <c r="H18" s="11">
        <v>36000</v>
      </c>
      <c r="I18" s="38">
        <f t="shared" si="0"/>
        <v>36000</v>
      </c>
      <c r="J18" s="14"/>
    </row>
    <row r="19" spans="3:13" ht="49.95" customHeight="1">
      <c r="C19" s="30">
        <v>13</v>
      </c>
      <c r="D19" s="92" t="s">
        <v>194</v>
      </c>
      <c r="E19" s="11"/>
      <c r="F19" s="93" t="s">
        <v>199</v>
      </c>
      <c r="G19" s="11">
        <v>1</v>
      </c>
      <c r="H19" s="11">
        <v>8358</v>
      </c>
      <c r="I19" s="38">
        <f t="shared" si="0"/>
        <v>8358</v>
      </c>
      <c r="J19" s="14"/>
    </row>
    <row r="20" spans="3:13" ht="49.95" customHeight="1">
      <c r="C20" s="30">
        <v>14</v>
      </c>
      <c r="D20" s="10"/>
      <c r="E20" s="11"/>
      <c r="F20" s="73"/>
      <c r="G20" s="11"/>
      <c r="H20" s="11"/>
      <c r="I20" s="38">
        <f t="shared" si="0"/>
        <v>0</v>
      </c>
      <c r="J20" s="14"/>
    </row>
    <row r="21" spans="3:13" ht="49.95" customHeight="1">
      <c r="C21" s="30">
        <v>15</v>
      </c>
      <c r="D21" s="10"/>
      <c r="E21" s="11"/>
      <c r="F21" s="73"/>
      <c r="G21" s="11"/>
      <c r="H21" s="11"/>
      <c r="I21" s="38">
        <f t="shared" si="0"/>
        <v>0</v>
      </c>
      <c r="J21" s="14"/>
    </row>
    <row r="22" spans="3:13" ht="49.95" customHeight="1">
      <c r="C22" s="30"/>
      <c r="D22" s="10"/>
      <c r="E22" s="11"/>
      <c r="F22" s="73"/>
      <c r="G22" s="11"/>
      <c r="H22" s="11"/>
      <c r="I22" s="38">
        <f t="shared" si="0"/>
        <v>0</v>
      </c>
      <c r="J22" s="14"/>
    </row>
    <row r="23" spans="3:13" ht="49.95" customHeight="1">
      <c r="C23" s="30"/>
      <c r="D23" s="10"/>
      <c r="E23" s="11"/>
      <c r="F23" s="73"/>
      <c r="G23" s="11"/>
      <c r="H23" s="11"/>
      <c r="I23" s="38">
        <f t="shared" si="0"/>
        <v>0</v>
      </c>
      <c r="J23" s="14"/>
      <c r="L23" s="1"/>
      <c r="M23" s="1"/>
    </row>
    <row r="24" spans="3:13" ht="49.95" customHeight="1">
      <c r="C24" s="30"/>
      <c r="D24" s="10"/>
      <c r="E24" s="11"/>
      <c r="F24" s="73"/>
      <c r="G24" s="11"/>
      <c r="H24" s="11"/>
      <c r="I24" s="38">
        <f t="shared" si="0"/>
        <v>0</v>
      </c>
      <c r="J24" s="14"/>
    </row>
    <row r="25" spans="3:13" ht="61.8" customHeight="1" thickBot="1">
      <c r="C25" s="192" t="s">
        <v>10</v>
      </c>
      <c r="D25" s="193"/>
      <c r="E25" s="89" t="s">
        <v>4</v>
      </c>
      <c r="F25" s="194">
        <f>IF(SUM(I7:I24)=0,"",SUM(I7:I24))</f>
        <v>186858</v>
      </c>
      <c r="G25" s="194"/>
      <c r="H25" s="102" t="s">
        <v>7</v>
      </c>
      <c r="I25" s="90">
        <f>SUM(I7:I24)</f>
        <v>186858</v>
      </c>
      <c r="J25" s="101"/>
    </row>
    <row r="26" spans="3:13" ht="16.8" thickTop="1"/>
  </sheetData>
  <mergeCells count="4">
    <mergeCell ref="D2:J2"/>
    <mergeCell ref="D3:J3"/>
    <mergeCell ref="F25:G25"/>
    <mergeCell ref="C25:D25"/>
  </mergeCells>
  <phoneticPr fontId="2" type="noConversion"/>
  <pageMargins left="0.7" right="0.7" top="0.75" bottom="0.75" header="0.3" footer="0.3"/>
  <pageSetup paperSize="9" scale="3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view="pageBreakPreview" zoomScale="30" zoomScaleNormal="100" zoomScaleSheetLayoutView="30" workbookViewId="0">
      <selection activeCell="B1" sqref="B1"/>
    </sheetView>
  </sheetViews>
  <sheetFormatPr defaultColWidth="8.77734375" defaultRowHeight="16.2"/>
  <cols>
    <col min="2" max="2" width="5" customWidth="1"/>
    <col min="3" max="3" width="55" customWidth="1"/>
    <col min="4" max="4" width="21.44140625" customWidth="1"/>
    <col min="5" max="5" width="22.33203125" customWidth="1"/>
    <col min="6" max="6" width="19.77734375" bestFit="1" customWidth="1"/>
    <col min="7" max="7" width="24.44140625" customWidth="1"/>
    <col min="8" max="8" width="22.33203125" customWidth="1"/>
    <col min="9" max="9" width="19.77734375" customWidth="1"/>
    <col min="10" max="10" width="7.6640625" customWidth="1"/>
    <col min="11" max="11" width="6.6640625" customWidth="1"/>
  </cols>
  <sheetData>
    <row r="1" spans="2:10" ht="60" customHeight="1"/>
    <row r="2" spans="2:10" ht="46.2">
      <c r="C2" s="190" t="s">
        <v>13</v>
      </c>
      <c r="D2" s="190"/>
      <c r="E2" s="190"/>
      <c r="F2" s="190"/>
      <c r="G2" s="190"/>
      <c r="H2" s="190"/>
      <c r="I2" s="190"/>
      <c r="J2" s="82"/>
    </row>
    <row r="3" spans="2:10" ht="49.95" customHeight="1">
      <c r="C3" s="191" t="s">
        <v>8</v>
      </c>
      <c r="D3" s="191"/>
      <c r="E3" s="191"/>
      <c r="F3" s="191"/>
      <c r="G3" s="191"/>
      <c r="H3" s="191"/>
      <c r="I3" s="191"/>
      <c r="J3" s="83"/>
    </row>
    <row r="4" spans="2:10" ht="49.95" customHeight="1">
      <c r="C4" s="31" t="s">
        <v>168</v>
      </c>
      <c r="D4" s="3" t="s">
        <v>14</v>
      </c>
      <c r="E4" s="2"/>
      <c r="F4" s="2"/>
      <c r="G4" s="2"/>
      <c r="H4" s="2"/>
    </row>
    <row r="5" spans="2:10" ht="49.95" customHeight="1" thickBot="1">
      <c r="C5" s="2" t="s">
        <v>169</v>
      </c>
      <c r="D5" s="2"/>
      <c r="E5" s="2"/>
      <c r="F5" s="2"/>
      <c r="G5" s="2"/>
      <c r="H5" s="2"/>
    </row>
    <row r="6" spans="2:10" ht="49.95" customHeight="1" thickTop="1" thickBot="1">
      <c r="C6" s="4" t="s">
        <v>9</v>
      </c>
      <c r="D6" s="5" t="s">
        <v>0</v>
      </c>
      <c r="E6" s="5" t="s">
        <v>87</v>
      </c>
      <c r="F6" s="63" t="s">
        <v>1</v>
      </c>
      <c r="G6" s="5" t="s">
        <v>2</v>
      </c>
      <c r="H6" s="5" t="s">
        <v>3</v>
      </c>
      <c r="I6" s="8" t="s">
        <v>5</v>
      </c>
      <c r="J6" s="85"/>
    </row>
    <row r="7" spans="2:10" ht="49.95" customHeight="1">
      <c r="B7">
        <v>1</v>
      </c>
      <c r="C7" s="61" t="s">
        <v>170</v>
      </c>
      <c r="D7" s="69"/>
      <c r="E7" s="72" t="s">
        <v>171</v>
      </c>
      <c r="F7" s="59">
        <v>1</v>
      </c>
      <c r="G7" s="59">
        <v>40000</v>
      </c>
      <c r="H7" s="67">
        <f t="shared" ref="H7:H24" si="0">F7*G7</f>
        <v>40000</v>
      </c>
      <c r="I7" s="53"/>
      <c r="J7" s="86"/>
    </row>
    <row r="8" spans="2:10" ht="51.45" customHeight="1">
      <c r="B8">
        <v>2</v>
      </c>
      <c r="C8" s="9" t="s">
        <v>172</v>
      </c>
      <c r="D8" s="10" t="s">
        <v>173</v>
      </c>
      <c r="E8" s="73"/>
      <c r="F8" s="11"/>
      <c r="G8" s="11"/>
      <c r="H8" s="38">
        <f t="shared" si="0"/>
        <v>0</v>
      </c>
      <c r="I8" s="14"/>
      <c r="J8" s="86"/>
    </row>
    <row r="9" spans="2:10" ht="49.95" customHeight="1">
      <c r="B9">
        <v>3</v>
      </c>
      <c r="C9" s="9" t="s">
        <v>174</v>
      </c>
      <c r="D9" s="10"/>
      <c r="E9" s="73"/>
      <c r="F9" s="11"/>
      <c r="G9" s="11"/>
      <c r="H9" s="38">
        <f t="shared" si="0"/>
        <v>0</v>
      </c>
      <c r="I9" s="14"/>
      <c r="J9" s="86"/>
    </row>
    <row r="10" spans="2:10" ht="49.95" customHeight="1">
      <c r="B10">
        <v>4</v>
      </c>
      <c r="C10" s="9" t="s">
        <v>178</v>
      </c>
      <c r="D10" s="10"/>
      <c r="E10" s="73"/>
      <c r="F10" s="11"/>
      <c r="G10" s="11"/>
      <c r="H10" s="38">
        <f t="shared" si="0"/>
        <v>0</v>
      </c>
      <c r="I10" s="14"/>
      <c r="J10" s="86"/>
    </row>
    <row r="11" spans="2:10" ht="49.95" customHeight="1">
      <c r="B11">
        <v>5</v>
      </c>
      <c r="C11" s="9" t="s">
        <v>175</v>
      </c>
      <c r="D11" s="10"/>
      <c r="E11" s="73"/>
      <c r="F11" s="11"/>
      <c r="G11" s="11"/>
      <c r="H11" s="38">
        <f t="shared" si="0"/>
        <v>0</v>
      </c>
      <c r="I11" s="14"/>
      <c r="J11" s="86"/>
    </row>
    <row r="12" spans="2:10" ht="49.95" customHeight="1">
      <c r="B12">
        <v>6</v>
      </c>
      <c r="C12" s="9" t="s">
        <v>176</v>
      </c>
      <c r="D12" s="10"/>
      <c r="E12" s="84" t="s">
        <v>171</v>
      </c>
      <c r="F12" s="11">
        <v>1</v>
      </c>
      <c r="G12" s="11">
        <v>15000</v>
      </c>
      <c r="H12" s="38">
        <f t="shared" si="0"/>
        <v>15000</v>
      </c>
      <c r="I12" s="14"/>
      <c r="J12" s="86"/>
    </row>
    <row r="13" spans="2:10" ht="49.95" customHeight="1">
      <c r="B13">
        <v>7</v>
      </c>
      <c r="C13" s="9" t="s">
        <v>177</v>
      </c>
      <c r="D13" s="10"/>
      <c r="E13" s="73" t="s">
        <v>171</v>
      </c>
      <c r="F13" s="11">
        <v>1</v>
      </c>
      <c r="G13" s="11">
        <v>8000</v>
      </c>
      <c r="H13" s="38">
        <f t="shared" si="0"/>
        <v>8000</v>
      </c>
      <c r="I13" s="14"/>
      <c r="J13" s="86"/>
    </row>
    <row r="14" spans="2:10" ht="49.95" customHeight="1">
      <c r="B14">
        <v>8</v>
      </c>
      <c r="C14" s="9"/>
      <c r="D14" s="10"/>
      <c r="E14" s="73"/>
      <c r="F14" s="11"/>
      <c r="G14" s="11"/>
      <c r="H14" s="38">
        <f t="shared" si="0"/>
        <v>0</v>
      </c>
      <c r="I14" s="14"/>
      <c r="J14" s="86"/>
    </row>
    <row r="15" spans="2:10" ht="49.95" customHeight="1">
      <c r="B15">
        <v>9</v>
      </c>
      <c r="C15" s="9"/>
      <c r="D15" s="10"/>
      <c r="E15" s="73"/>
      <c r="F15" s="11"/>
      <c r="G15" s="11"/>
      <c r="H15" s="38">
        <f t="shared" si="0"/>
        <v>0</v>
      </c>
      <c r="I15" s="14"/>
      <c r="J15" s="86"/>
    </row>
    <row r="16" spans="2:10" ht="49.95" customHeight="1">
      <c r="B16">
        <v>10</v>
      </c>
      <c r="C16" s="9"/>
      <c r="D16" s="10"/>
      <c r="E16" s="73"/>
      <c r="F16" s="11"/>
      <c r="G16" s="11"/>
      <c r="H16" s="38">
        <f t="shared" si="0"/>
        <v>0</v>
      </c>
      <c r="I16" s="14"/>
      <c r="J16" s="86"/>
    </row>
    <row r="17" spans="2:13" ht="49.95" customHeight="1">
      <c r="B17">
        <v>11</v>
      </c>
      <c r="C17" s="9"/>
      <c r="D17" s="34"/>
      <c r="E17" s="73"/>
      <c r="F17" s="10"/>
      <c r="G17" s="10"/>
      <c r="H17" s="38">
        <f t="shared" si="0"/>
        <v>0</v>
      </c>
      <c r="I17" s="14"/>
      <c r="J17" s="86"/>
    </row>
    <row r="18" spans="2:13" ht="49.95" customHeight="1">
      <c r="B18">
        <v>12</v>
      </c>
      <c r="C18" s="9"/>
      <c r="D18" s="11"/>
      <c r="E18" s="73"/>
      <c r="F18" s="11"/>
      <c r="G18" s="11"/>
      <c r="H18" s="38">
        <f t="shared" si="0"/>
        <v>0</v>
      </c>
      <c r="I18" s="14"/>
      <c r="J18" s="86"/>
    </row>
    <row r="19" spans="2:13" ht="49.95" customHeight="1">
      <c r="B19">
        <v>13</v>
      </c>
      <c r="C19" s="9"/>
      <c r="D19" s="11"/>
      <c r="E19" s="73"/>
      <c r="F19" s="11"/>
      <c r="G19" s="11"/>
      <c r="H19" s="38">
        <f t="shared" si="0"/>
        <v>0</v>
      </c>
      <c r="I19" s="14"/>
      <c r="J19" s="86"/>
    </row>
    <row r="20" spans="2:13" ht="49.95" customHeight="1">
      <c r="B20">
        <v>14</v>
      </c>
      <c r="C20" s="9" t="s">
        <v>59</v>
      </c>
      <c r="D20" s="11"/>
      <c r="E20" s="73"/>
      <c r="F20" s="11"/>
      <c r="G20" s="11"/>
      <c r="H20" s="38">
        <f t="shared" si="0"/>
        <v>0</v>
      </c>
      <c r="I20" s="14"/>
      <c r="J20" s="86"/>
    </row>
    <row r="21" spans="2:13" ht="49.95" customHeight="1">
      <c r="B21">
        <v>15</v>
      </c>
      <c r="C21" s="9"/>
      <c r="D21" s="11"/>
      <c r="E21" s="73"/>
      <c r="F21" s="11"/>
      <c r="G21" s="11"/>
      <c r="H21" s="38">
        <f t="shared" si="0"/>
        <v>0</v>
      </c>
      <c r="I21" s="14"/>
      <c r="J21" s="86"/>
    </row>
    <row r="22" spans="2:13" ht="49.95" customHeight="1">
      <c r="C22" s="9"/>
      <c r="D22" s="11"/>
      <c r="E22" s="73"/>
      <c r="F22" s="11"/>
      <c r="G22" s="11"/>
      <c r="H22" s="38">
        <f t="shared" si="0"/>
        <v>0</v>
      </c>
      <c r="I22" s="14"/>
      <c r="J22" s="86"/>
    </row>
    <row r="23" spans="2:13" ht="49.95" customHeight="1">
      <c r="C23" s="9"/>
      <c r="D23" s="11"/>
      <c r="E23" s="73"/>
      <c r="F23" s="11"/>
      <c r="G23" s="11"/>
      <c r="H23" s="38">
        <f t="shared" si="0"/>
        <v>0</v>
      </c>
      <c r="I23" s="14"/>
      <c r="J23" s="86"/>
      <c r="L23" s="1"/>
      <c r="M23" s="1"/>
    </row>
    <row r="24" spans="2:13" ht="49.95" customHeight="1" thickBot="1">
      <c r="C24" s="62"/>
      <c r="D24" s="60"/>
      <c r="E24" s="74"/>
      <c r="F24" s="60"/>
      <c r="G24" s="60"/>
      <c r="H24" s="68">
        <f t="shared" si="0"/>
        <v>0</v>
      </c>
      <c r="I24" s="55"/>
      <c r="J24" s="86"/>
    </row>
    <row r="25" spans="2:13" ht="61.8" customHeight="1" thickBot="1">
      <c r="C25" s="25" t="s">
        <v>10</v>
      </c>
      <c r="D25" s="64" t="s">
        <v>4</v>
      </c>
      <c r="E25" s="195">
        <f>IF(SUM(H7:H24)=0,"",SUM(H7:H24))</f>
        <v>63000</v>
      </c>
      <c r="F25" s="196"/>
      <c r="G25" s="70" t="s">
        <v>7</v>
      </c>
      <c r="H25" s="65">
        <f>SUM(H7:H24)</f>
        <v>63000</v>
      </c>
      <c r="I25" s="66"/>
      <c r="J25" s="87"/>
    </row>
    <row r="26" spans="2:13" ht="16.8" thickTop="1"/>
  </sheetData>
  <mergeCells count="3">
    <mergeCell ref="C2:I2"/>
    <mergeCell ref="C3:I3"/>
    <mergeCell ref="E25:F25"/>
  </mergeCells>
  <phoneticPr fontId="2" type="noConversion"/>
  <pageMargins left="0.7" right="0.7" top="0.75" bottom="0.75" header="0.3" footer="0.3"/>
  <pageSetup paperSize="9" scale="4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view="pageBreakPreview" zoomScale="76" zoomScaleNormal="100" zoomScaleSheetLayoutView="76" workbookViewId="0">
      <selection activeCell="Q12" sqref="Q12"/>
    </sheetView>
  </sheetViews>
  <sheetFormatPr defaultColWidth="8.77734375" defaultRowHeight="16.2"/>
  <cols>
    <col min="1" max="1" width="9.109375" customWidth="1"/>
    <col min="2" max="2" width="55" customWidth="1"/>
    <col min="3" max="3" width="21.44140625" customWidth="1"/>
    <col min="4" max="4" width="22.33203125" customWidth="1"/>
    <col min="5" max="5" width="19.77734375" bestFit="1" customWidth="1"/>
    <col min="6" max="6" width="24.44140625" customWidth="1"/>
    <col min="7" max="7" width="22.33203125" customWidth="1"/>
    <col min="8" max="8" width="19.77734375" customWidth="1"/>
    <col min="9" max="9" width="11.109375" customWidth="1"/>
  </cols>
  <sheetData>
    <row r="1" spans="1:8" ht="60" customHeight="1"/>
    <row r="2" spans="1:8" ht="46.2">
      <c r="B2" s="190" t="s">
        <v>13</v>
      </c>
      <c r="C2" s="190"/>
      <c r="D2" s="190"/>
      <c r="E2" s="190"/>
      <c r="F2" s="190"/>
      <c r="G2" s="190"/>
      <c r="H2" s="190"/>
    </row>
    <row r="3" spans="1:8" ht="49.95" customHeight="1">
      <c r="B3" s="191" t="s">
        <v>8</v>
      </c>
      <c r="C3" s="191"/>
      <c r="D3" s="191"/>
      <c r="E3" s="191"/>
      <c r="F3" s="191"/>
      <c r="G3" s="191"/>
      <c r="H3" s="191"/>
    </row>
    <row r="4" spans="1:8" ht="49.95" customHeight="1">
      <c r="B4" s="31" t="s">
        <v>147</v>
      </c>
      <c r="C4" s="3" t="s">
        <v>14</v>
      </c>
      <c r="D4" s="2"/>
      <c r="E4" s="2"/>
      <c r="F4" s="2"/>
      <c r="G4" s="2"/>
    </row>
    <row r="5" spans="1:8" ht="49.95" customHeight="1" thickBot="1">
      <c r="B5" s="2" t="s">
        <v>167</v>
      </c>
      <c r="C5" s="2"/>
      <c r="D5" s="2"/>
      <c r="E5" s="2"/>
      <c r="F5" s="2"/>
      <c r="G5" s="2"/>
    </row>
    <row r="6" spans="1:8" ht="49.95" customHeight="1" thickTop="1" thickBot="1">
      <c r="B6" s="4" t="s">
        <v>9</v>
      </c>
      <c r="C6" s="5" t="s">
        <v>0</v>
      </c>
      <c r="D6" s="5" t="s">
        <v>87</v>
      </c>
      <c r="E6" s="63" t="s">
        <v>1</v>
      </c>
      <c r="F6" s="5" t="s">
        <v>2</v>
      </c>
      <c r="G6" s="5" t="s">
        <v>3</v>
      </c>
      <c r="H6" s="8" t="s">
        <v>5</v>
      </c>
    </row>
    <row r="7" spans="1:8" ht="49.95" customHeight="1">
      <c r="A7">
        <v>1</v>
      </c>
      <c r="B7" s="61" t="s">
        <v>148</v>
      </c>
      <c r="C7" s="69"/>
      <c r="D7" s="72" t="s">
        <v>149</v>
      </c>
      <c r="E7" s="59">
        <v>2</v>
      </c>
      <c r="F7" s="59">
        <v>1600</v>
      </c>
      <c r="G7" s="67">
        <f t="shared" ref="G7:G24" si="0">E7*F7</f>
        <v>3200</v>
      </c>
      <c r="H7" s="53"/>
    </row>
    <row r="8" spans="1:8" ht="51.45" customHeight="1">
      <c r="A8">
        <v>2</v>
      </c>
      <c r="B8" s="9" t="s">
        <v>150</v>
      </c>
      <c r="C8" s="10"/>
      <c r="D8" s="73" t="s">
        <v>151</v>
      </c>
      <c r="E8" s="11">
        <v>12</v>
      </c>
      <c r="F8" s="11">
        <v>650</v>
      </c>
      <c r="G8" s="38">
        <f t="shared" si="0"/>
        <v>7800</v>
      </c>
      <c r="H8" s="14"/>
    </row>
    <row r="9" spans="1:8" ht="49.95" customHeight="1">
      <c r="A9">
        <v>3</v>
      </c>
      <c r="B9" s="76" t="s">
        <v>152</v>
      </c>
      <c r="C9" s="10"/>
      <c r="D9" s="73" t="s">
        <v>153</v>
      </c>
      <c r="E9" s="11">
        <v>10</v>
      </c>
      <c r="F9" s="11">
        <v>100</v>
      </c>
      <c r="G9" s="38">
        <f t="shared" si="0"/>
        <v>1000</v>
      </c>
      <c r="H9" s="14"/>
    </row>
    <row r="10" spans="1:8" ht="49.95" customHeight="1">
      <c r="A10">
        <v>4</v>
      </c>
      <c r="B10" s="76" t="s">
        <v>154</v>
      </c>
      <c r="C10" s="10"/>
      <c r="D10" s="73" t="s">
        <v>149</v>
      </c>
      <c r="E10" s="11">
        <v>1</v>
      </c>
      <c r="F10" s="11">
        <v>500</v>
      </c>
      <c r="G10" s="38">
        <f t="shared" si="0"/>
        <v>500</v>
      </c>
      <c r="H10" s="14"/>
    </row>
    <row r="11" spans="1:8" ht="49.95" customHeight="1">
      <c r="A11">
        <v>5</v>
      </c>
      <c r="B11" s="9" t="s">
        <v>155</v>
      </c>
      <c r="C11" s="10"/>
      <c r="D11" s="73" t="s">
        <v>151</v>
      </c>
      <c r="E11" s="11">
        <v>5</v>
      </c>
      <c r="F11" s="11">
        <v>100</v>
      </c>
      <c r="G11" s="38">
        <f t="shared" si="0"/>
        <v>500</v>
      </c>
      <c r="H11" s="14"/>
    </row>
    <row r="12" spans="1:8" ht="49.95" customHeight="1">
      <c r="A12">
        <v>6</v>
      </c>
      <c r="B12" s="9" t="s">
        <v>156</v>
      </c>
      <c r="C12" s="10"/>
      <c r="D12" s="73" t="s">
        <v>158</v>
      </c>
      <c r="E12" s="11">
        <v>8</v>
      </c>
      <c r="F12" s="11">
        <v>35</v>
      </c>
      <c r="G12" s="38">
        <f t="shared" si="0"/>
        <v>280</v>
      </c>
      <c r="H12" s="14"/>
    </row>
    <row r="13" spans="1:8" ht="49.95" customHeight="1">
      <c r="A13">
        <v>7</v>
      </c>
      <c r="B13" s="9" t="s">
        <v>157</v>
      </c>
      <c r="C13" s="10"/>
      <c r="D13" s="73" t="s">
        <v>158</v>
      </c>
      <c r="E13" s="11">
        <v>4</v>
      </c>
      <c r="F13" s="11">
        <v>35</v>
      </c>
      <c r="G13" s="38">
        <f t="shared" si="0"/>
        <v>140</v>
      </c>
      <c r="H13" s="14"/>
    </row>
    <row r="14" spans="1:8" ht="49.95" customHeight="1">
      <c r="A14">
        <v>8</v>
      </c>
      <c r="B14" s="9" t="s">
        <v>159</v>
      </c>
      <c r="C14" s="10"/>
      <c r="D14" s="73" t="s">
        <v>158</v>
      </c>
      <c r="E14" s="11">
        <v>4</v>
      </c>
      <c r="F14" s="11">
        <v>20</v>
      </c>
      <c r="G14" s="38">
        <f t="shared" si="0"/>
        <v>80</v>
      </c>
      <c r="H14" s="14"/>
    </row>
    <row r="15" spans="1:8" ht="49.95" customHeight="1">
      <c r="A15">
        <v>9</v>
      </c>
      <c r="B15" s="9" t="s">
        <v>160</v>
      </c>
      <c r="C15" s="10"/>
      <c r="D15" s="73" t="s">
        <v>151</v>
      </c>
      <c r="E15" s="11">
        <v>1</v>
      </c>
      <c r="F15" s="11">
        <v>1500</v>
      </c>
      <c r="G15" s="38">
        <f t="shared" si="0"/>
        <v>1500</v>
      </c>
      <c r="H15" s="14"/>
    </row>
    <row r="16" spans="1:8" ht="49.95" customHeight="1">
      <c r="A16">
        <v>10</v>
      </c>
      <c r="B16" s="9" t="s">
        <v>161</v>
      </c>
      <c r="C16" s="10"/>
      <c r="D16" s="73" t="s">
        <v>153</v>
      </c>
      <c r="E16" s="11">
        <v>2</v>
      </c>
      <c r="F16" s="11">
        <v>200</v>
      </c>
      <c r="G16" s="38">
        <f t="shared" si="0"/>
        <v>400</v>
      </c>
      <c r="H16" s="14"/>
    </row>
    <row r="17" spans="1:11" ht="49.95" customHeight="1">
      <c r="A17">
        <v>11</v>
      </c>
      <c r="B17" s="9" t="s">
        <v>162</v>
      </c>
      <c r="C17" s="34"/>
      <c r="D17" s="73" t="s">
        <v>158</v>
      </c>
      <c r="E17" s="10">
        <v>1</v>
      </c>
      <c r="F17" s="10">
        <v>500</v>
      </c>
      <c r="G17" s="38">
        <f t="shared" si="0"/>
        <v>500</v>
      </c>
      <c r="H17" s="14"/>
    </row>
    <row r="18" spans="1:11" ht="49.95" customHeight="1">
      <c r="A18">
        <v>12</v>
      </c>
      <c r="B18" s="9" t="s">
        <v>163</v>
      </c>
      <c r="C18" s="11"/>
      <c r="D18" s="73" t="s">
        <v>151</v>
      </c>
      <c r="E18" s="11">
        <v>1</v>
      </c>
      <c r="F18" s="11">
        <v>800</v>
      </c>
      <c r="G18" s="38">
        <f t="shared" si="0"/>
        <v>800</v>
      </c>
      <c r="H18" s="14"/>
    </row>
    <row r="19" spans="1:11" ht="49.95" customHeight="1">
      <c r="A19">
        <v>13</v>
      </c>
      <c r="B19" s="9" t="s">
        <v>164</v>
      </c>
      <c r="C19" s="11"/>
      <c r="D19" s="73" t="s">
        <v>165</v>
      </c>
      <c r="E19" s="11">
        <v>1</v>
      </c>
      <c r="F19" s="11">
        <v>12000</v>
      </c>
      <c r="G19" s="38">
        <f t="shared" si="0"/>
        <v>12000</v>
      </c>
      <c r="H19" s="14"/>
    </row>
    <row r="20" spans="1:11" ht="49.95" customHeight="1">
      <c r="A20">
        <v>14</v>
      </c>
      <c r="B20" s="9" t="s">
        <v>166</v>
      </c>
      <c r="C20" s="11"/>
      <c r="D20" s="73"/>
      <c r="E20" s="11"/>
      <c r="F20" s="11"/>
      <c r="G20" s="38">
        <f t="shared" si="0"/>
        <v>0</v>
      </c>
      <c r="H20" s="14"/>
    </row>
    <row r="21" spans="1:11" ht="49.95" customHeight="1">
      <c r="A21">
        <v>15</v>
      </c>
      <c r="B21" s="9"/>
      <c r="C21" s="11"/>
      <c r="D21" s="73"/>
      <c r="E21" s="11"/>
      <c r="F21" s="11"/>
      <c r="G21" s="38">
        <f t="shared" si="0"/>
        <v>0</v>
      </c>
      <c r="H21" s="14"/>
    </row>
    <row r="22" spans="1:11" ht="49.95" customHeight="1">
      <c r="B22" s="9"/>
      <c r="C22" s="11"/>
      <c r="D22" s="73"/>
      <c r="E22" s="11"/>
      <c r="F22" s="11"/>
      <c r="G22" s="38">
        <f t="shared" si="0"/>
        <v>0</v>
      </c>
      <c r="H22" s="14"/>
    </row>
    <row r="23" spans="1:11" ht="49.95" customHeight="1">
      <c r="B23" s="9"/>
      <c r="C23" s="11"/>
      <c r="D23" s="73"/>
      <c r="E23" s="11"/>
      <c r="F23" s="11"/>
      <c r="G23" s="38">
        <f t="shared" si="0"/>
        <v>0</v>
      </c>
      <c r="H23" s="14"/>
      <c r="J23" s="1"/>
      <c r="K23" s="1"/>
    </row>
    <row r="24" spans="1:11" ht="49.95" customHeight="1" thickBot="1">
      <c r="B24" s="62"/>
      <c r="C24" s="60"/>
      <c r="D24" s="74"/>
      <c r="E24" s="60"/>
      <c r="F24" s="60"/>
      <c r="G24" s="68">
        <f t="shared" si="0"/>
        <v>0</v>
      </c>
      <c r="H24" s="55"/>
    </row>
    <row r="25" spans="1:11" ht="61.8" customHeight="1" thickBot="1">
      <c r="B25" s="25" t="s">
        <v>10</v>
      </c>
      <c r="C25" s="64" t="s">
        <v>4</v>
      </c>
      <c r="D25" s="195">
        <f>IF(SUM(G7:G24)=0,"",SUM(G7:G24))</f>
        <v>28700</v>
      </c>
      <c r="E25" s="196"/>
      <c r="F25" s="70" t="s">
        <v>7</v>
      </c>
      <c r="G25" s="65">
        <f>SUM(G7:G24)</f>
        <v>28700</v>
      </c>
      <c r="H25" s="66"/>
    </row>
    <row r="26" spans="1:11" ht="16.8" thickTop="1"/>
  </sheetData>
  <mergeCells count="3">
    <mergeCell ref="D25:E25"/>
    <mergeCell ref="B2:H2"/>
    <mergeCell ref="B3:H3"/>
  </mergeCells>
  <phoneticPr fontId="2" type="noConversion"/>
  <pageMargins left="0.7" right="0.7" top="0.75" bottom="0.75" header="0.3" footer="0.3"/>
  <pageSetup paperSize="9" scale="4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view="pageBreakPreview" topLeftCell="A9" zoomScale="37" zoomScaleNormal="100" zoomScaleSheetLayoutView="37" workbookViewId="0"/>
  </sheetViews>
  <sheetFormatPr defaultColWidth="8.77734375" defaultRowHeight="16.2"/>
  <cols>
    <col min="1" max="1" width="3.44140625" customWidth="1"/>
    <col min="2" max="2" width="55" customWidth="1"/>
    <col min="3" max="3" width="21.44140625" customWidth="1"/>
    <col min="4" max="4" width="22.33203125" customWidth="1"/>
    <col min="5" max="5" width="19.77734375" bestFit="1" customWidth="1"/>
    <col min="6" max="6" width="24.44140625" customWidth="1"/>
    <col min="7" max="7" width="17.109375" customWidth="1"/>
    <col min="8" max="8" width="19.77734375" customWidth="1"/>
    <col min="9" max="9" width="5.77734375" customWidth="1"/>
  </cols>
  <sheetData>
    <row r="2" spans="1:8" ht="46.2">
      <c r="B2" s="190" t="s">
        <v>13</v>
      </c>
      <c r="C2" s="190"/>
      <c r="D2" s="190"/>
      <c r="E2" s="190"/>
      <c r="F2" s="190"/>
      <c r="G2" s="190"/>
    </row>
    <row r="3" spans="1:8" ht="49.95" customHeight="1">
      <c r="B3" s="191" t="s">
        <v>8</v>
      </c>
      <c r="C3" s="191"/>
      <c r="D3" s="191"/>
      <c r="E3" s="191"/>
      <c r="F3" s="191"/>
      <c r="G3" s="191"/>
    </row>
    <row r="4" spans="1:8" ht="49.95" customHeight="1">
      <c r="B4" s="31" t="s">
        <v>136</v>
      </c>
      <c r="C4" s="3" t="s">
        <v>14</v>
      </c>
      <c r="D4" s="2"/>
      <c r="E4" s="2"/>
      <c r="F4" s="2"/>
      <c r="G4" s="2"/>
    </row>
    <row r="5" spans="1:8" ht="49.95" customHeight="1" thickBot="1">
      <c r="B5" s="2" t="s">
        <v>79</v>
      </c>
      <c r="C5" s="2"/>
      <c r="D5" s="2"/>
      <c r="E5" s="2"/>
      <c r="F5" s="2"/>
      <c r="G5" s="2"/>
    </row>
    <row r="6" spans="1:8" ht="49.95" customHeight="1" thickTop="1" thickBot="1">
      <c r="B6" s="4" t="s">
        <v>9</v>
      </c>
      <c r="C6" s="5" t="s">
        <v>0</v>
      </c>
      <c r="D6" s="5" t="s">
        <v>87</v>
      </c>
      <c r="E6" s="63" t="s">
        <v>1</v>
      </c>
      <c r="F6" s="5" t="s">
        <v>2</v>
      </c>
      <c r="G6" s="5" t="s">
        <v>3</v>
      </c>
      <c r="H6" s="8" t="s">
        <v>5</v>
      </c>
    </row>
    <row r="7" spans="1:8" ht="49.95" customHeight="1">
      <c r="A7">
        <v>1</v>
      </c>
      <c r="B7" s="61" t="s">
        <v>137</v>
      </c>
      <c r="C7" s="69" t="s">
        <v>138</v>
      </c>
      <c r="D7" s="72" t="s">
        <v>139</v>
      </c>
      <c r="E7" s="59">
        <v>1</v>
      </c>
      <c r="F7" s="59">
        <v>12500</v>
      </c>
      <c r="G7" s="67">
        <f t="shared" ref="G7:G24" si="0">E7*F7</f>
        <v>12500</v>
      </c>
      <c r="H7" s="53"/>
    </row>
    <row r="8" spans="1:8" ht="51.45" customHeight="1">
      <c r="A8">
        <v>2</v>
      </c>
      <c r="B8" s="9" t="s">
        <v>140</v>
      </c>
      <c r="C8" s="10"/>
      <c r="D8" s="73" t="s">
        <v>141</v>
      </c>
      <c r="E8" s="11">
        <v>30</v>
      </c>
      <c r="F8" s="11">
        <v>100</v>
      </c>
      <c r="G8" s="38">
        <f t="shared" si="0"/>
        <v>3000</v>
      </c>
      <c r="H8" s="14"/>
    </row>
    <row r="9" spans="1:8" ht="49.95" customHeight="1">
      <c r="A9">
        <v>3</v>
      </c>
      <c r="B9" s="76" t="s">
        <v>142</v>
      </c>
      <c r="C9" s="10"/>
      <c r="D9" s="73" t="s">
        <v>143</v>
      </c>
      <c r="E9" s="11">
        <v>2</v>
      </c>
      <c r="F9" s="11">
        <v>100</v>
      </c>
      <c r="G9" s="38">
        <f t="shared" si="0"/>
        <v>200</v>
      </c>
      <c r="H9" s="14"/>
    </row>
    <row r="10" spans="1:8" ht="49.95" customHeight="1">
      <c r="A10">
        <v>4</v>
      </c>
      <c r="B10" s="76" t="s">
        <v>144</v>
      </c>
      <c r="C10" s="10"/>
      <c r="D10" s="73" t="s">
        <v>145</v>
      </c>
      <c r="E10" s="11">
        <v>1</v>
      </c>
      <c r="F10" s="11">
        <v>2500</v>
      </c>
      <c r="G10" s="38">
        <f t="shared" si="0"/>
        <v>2500</v>
      </c>
      <c r="H10" s="14"/>
    </row>
    <row r="11" spans="1:8" ht="49.95" customHeight="1">
      <c r="A11">
        <v>5</v>
      </c>
      <c r="B11" s="9"/>
      <c r="C11" s="10"/>
      <c r="D11" s="73"/>
      <c r="E11" s="11"/>
      <c r="F11" s="11"/>
      <c r="G11" s="38">
        <f t="shared" si="0"/>
        <v>0</v>
      </c>
      <c r="H11" s="14"/>
    </row>
    <row r="12" spans="1:8" ht="49.95" customHeight="1">
      <c r="A12">
        <v>6</v>
      </c>
      <c r="B12" s="9"/>
      <c r="C12" s="10"/>
      <c r="D12" s="73"/>
      <c r="E12" s="11"/>
      <c r="F12" s="11"/>
      <c r="G12" s="38">
        <f t="shared" si="0"/>
        <v>0</v>
      </c>
      <c r="H12" s="14"/>
    </row>
    <row r="13" spans="1:8" ht="49.95" customHeight="1">
      <c r="A13">
        <v>7</v>
      </c>
      <c r="B13" s="9"/>
      <c r="C13" s="10"/>
      <c r="D13" s="73"/>
      <c r="E13" s="11"/>
      <c r="F13" s="11"/>
      <c r="G13" s="38">
        <f t="shared" si="0"/>
        <v>0</v>
      </c>
      <c r="H13" s="14"/>
    </row>
    <row r="14" spans="1:8" ht="49.95" customHeight="1">
      <c r="A14">
        <v>8</v>
      </c>
      <c r="B14" s="9"/>
      <c r="C14" s="10"/>
      <c r="D14" s="73"/>
      <c r="E14" s="11"/>
      <c r="F14" s="11"/>
      <c r="G14" s="38">
        <f t="shared" si="0"/>
        <v>0</v>
      </c>
      <c r="H14" s="14"/>
    </row>
    <row r="15" spans="1:8" ht="49.95" customHeight="1">
      <c r="A15">
        <v>9</v>
      </c>
      <c r="B15" s="9"/>
      <c r="C15" s="10"/>
      <c r="D15" s="73"/>
      <c r="E15" s="11"/>
      <c r="F15" s="11"/>
      <c r="G15" s="38">
        <f t="shared" si="0"/>
        <v>0</v>
      </c>
      <c r="H15" s="14"/>
    </row>
    <row r="16" spans="1:8" ht="49.95" customHeight="1">
      <c r="A16">
        <v>10</v>
      </c>
      <c r="B16" s="9"/>
      <c r="C16" s="10"/>
      <c r="D16" s="73"/>
      <c r="E16" s="11"/>
      <c r="F16" s="11"/>
      <c r="G16" s="38">
        <f t="shared" si="0"/>
        <v>0</v>
      </c>
      <c r="H16" s="14"/>
    </row>
    <row r="17" spans="1:11" ht="49.95" customHeight="1">
      <c r="A17">
        <v>11</v>
      </c>
      <c r="B17" s="9"/>
      <c r="C17" s="34"/>
      <c r="D17" s="73"/>
      <c r="E17" s="10"/>
      <c r="F17" s="10"/>
      <c r="G17" s="38">
        <f t="shared" si="0"/>
        <v>0</v>
      </c>
      <c r="H17" s="14"/>
    </row>
    <row r="18" spans="1:11" ht="49.95" customHeight="1">
      <c r="A18">
        <v>12</v>
      </c>
      <c r="B18" s="9"/>
      <c r="C18" s="11"/>
      <c r="D18" s="73"/>
      <c r="E18" s="11"/>
      <c r="F18" s="11"/>
      <c r="G18" s="38">
        <f t="shared" si="0"/>
        <v>0</v>
      </c>
      <c r="H18" s="14"/>
    </row>
    <row r="19" spans="1:11" ht="49.95" customHeight="1">
      <c r="A19">
        <v>13</v>
      </c>
      <c r="B19" s="9"/>
      <c r="C19" s="11"/>
      <c r="D19" s="73"/>
      <c r="E19" s="11"/>
      <c r="F19" s="11"/>
      <c r="G19" s="38">
        <f t="shared" si="0"/>
        <v>0</v>
      </c>
      <c r="H19" s="14"/>
    </row>
    <row r="20" spans="1:11" ht="49.95" customHeight="1">
      <c r="A20">
        <v>14</v>
      </c>
      <c r="B20" s="9"/>
      <c r="C20" s="11"/>
      <c r="D20" s="73"/>
      <c r="E20" s="11"/>
      <c r="F20" s="11"/>
      <c r="G20" s="38">
        <f t="shared" si="0"/>
        <v>0</v>
      </c>
      <c r="H20" s="14"/>
    </row>
    <row r="21" spans="1:11" ht="49.95" customHeight="1">
      <c r="A21">
        <v>15</v>
      </c>
      <c r="B21" s="9"/>
      <c r="C21" s="11"/>
      <c r="D21" s="73"/>
      <c r="E21" s="11"/>
      <c r="F21" s="11"/>
      <c r="G21" s="38">
        <f t="shared" si="0"/>
        <v>0</v>
      </c>
      <c r="H21" s="14"/>
    </row>
    <row r="22" spans="1:11" ht="49.95" customHeight="1">
      <c r="B22" s="9"/>
      <c r="C22" s="11"/>
      <c r="D22" s="73"/>
      <c r="E22" s="11"/>
      <c r="F22" s="11"/>
      <c r="G22" s="38">
        <f t="shared" si="0"/>
        <v>0</v>
      </c>
      <c r="H22" s="14"/>
    </row>
    <row r="23" spans="1:11" ht="49.95" customHeight="1">
      <c r="B23" s="9"/>
      <c r="C23" s="11"/>
      <c r="D23" s="73"/>
      <c r="E23" s="11"/>
      <c r="F23" s="11"/>
      <c r="G23" s="38">
        <f t="shared" si="0"/>
        <v>0</v>
      </c>
      <c r="H23" s="14"/>
      <c r="J23" s="1"/>
      <c r="K23" s="1"/>
    </row>
    <row r="24" spans="1:11" ht="49.95" customHeight="1" thickBot="1">
      <c r="B24" s="62"/>
      <c r="C24" s="60"/>
      <c r="D24" s="74"/>
      <c r="E24" s="60"/>
      <c r="F24" s="60"/>
      <c r="G24" s="68">
        <f t="shared" si="0"/>
        <v>0</v>
      </c>
      <c r="H24" s="55"/>
    </row>
    <row r="25" spans="1:11" ht="61.8" customHeight="1" thickBot="1">
      <c r="B25" s="25" t="s">
        <v>10</v>
      </c>
      <c r="C25" s="64" t="s">
        <v>4</v>
      </c>
      <c r="D25" s="195">
        <f>IF(SUM(G7:G24)=0,"",SUM(G7:G24))</f>
        <v>18200</v>
      </c>
      <c r="E25" s="196"/>
      <c r="F25" s="70" t="s">
        <v>7</v>
      </c>
      <c r="G25" s="65">
        <f>SUM(G7:G24)</f>
        <v>18200</v>
      </c>
      <c r="H25" s="66"/>
    </row>
    <row r="26" spans="1:11" ht="16.8" thickTop="1"/>
  </sheetData>
  <mergeCells count="3">
    <mergeCell ref="B2:G2"/>
    <mergeCell ref="B3:G3"/>
    <mergeCell ref="D25:E25"/>
  </mergeCells>
  <phoneticPr fontId="2" type="noConversion"/>
  <pageMargins left="0.7" right="0.7" top="0.75" bottom="0.75" header="0.3" footer="0.3"/>
  <pageSetup paperSize="9"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view="pageBreakPreview" topLeftCell="A18" zoomScale="89" zoomScaleNormal="100" zoomScaleSheetLayoutView="89" workbookViewId="0"/>
  </sheetViews>
  <sheetFormatPr defaultColWidth="8.77734375" defaultRowHeight="16.2"/>
  <cols>
    <col min="1" max="1" width="3.44140625" customWidth="1"/>
    <col min="2" max="2" width="55" customWidth="1"/>
    <col min="3" max="3" width="21.44140625" customWidth="1"/>
    <col min="4" max="4" width="22.33203125" customWidth="1"/>
    <col min="5" max="5" width="19.77734375" bestFit="1" customWidth="1"/>
    <col min="6" max="6" width="24.44140625" customWidth="1"/>
    <col min="7" max="7" width="17.109375" customWidth="1"/>
    <col min="8" max="8" width="19.77734375" customWidth="1"/>
    <col min="9" max="9" width="5.77734375" customWidth="1"/>
  </cols>
  <sheetData>
    <row r="2" spans="1:8" ht="46.2">
      <c r="B2" s="190" t="s">
        <v>13</v>
      </c>
      <c r="C2" s="190"/>
      <c r="D2" s="190"/>
      <c r="E2" s="190"/>
      <c r="F2" s="190"/>
      <c r="G2" s="190"/>
    </row>
    <row r="3" spans="1:8" ht="49.95" customHeight="1">
      <c r="B3" s="191" t="s">
        <v>8</v>
      </c>
      <c r="C3" s="191"/>
      <c r="D3" s="191"/>
      <c r="E3" s="191"/>
      <c r="F3" s="191"/>
      <c r="G3" s="191"/>
    </row>
    <row r="4" spans="1:8" ht="49.95" customHeight="1">
      <c r="B4" s="31" t="s">
        <v>81</v>
      </c>
      <c r="C4" s="3" t="s">
        <v>14</v>
      </c>
      <c r="D4" s="2"/>
      <c r="E4" s="2"/>
      <c r="F4" s="2"/>
      <c r="G4" s="2"/>
    </row>
    <row r="5" spans="1:8" ht="49.95" customHeight="1" thickBot="1">
      <c r="B5" s="2" t="s">
        <v>79</v>
      </c>
      <c r="C5" s="2"/>
      <c r="D5" s="2"/>
      <c r="E5" s="2"/>
      <c r="F5" s="2"/>
      <c r="G5" s="2"/>
    </row>
    <row r="6" spans="1:8" ht="49.95" customHeight="1" thickTop="1" thickBot="1">
      <c r="B6" s="4" t="s">
        <v>9</v>
      </c>
      <c r="C6" s="5" t="s">
        <v>0</v>
      </c>
      <c r="D6" s="5" t="s">
        <v>87</v>
      </c>
      <c r="E6" s="63" t="s">
        <v>1</v>
      </c>
      <c r="F6" s="5" t="s">
        <v>2</v>
      </c>
      <c r="G6" s="5" t="s">
        <v>3</v>
      </c>
      <c r="H6" s="8" t="s">
        <v>5</v>
      </c>
    </row>
    <row r="7" spans="1:8" ht="49.95" customHeight="1">
      <c r="A7">
        <v>1</v>
      </c>
      <c r="B7" s="61" t="s">
        <v>123</v>
      </c>
      <c r="C7" s="69"/>
      <c r="D7" s="72" t="s">
        <v>116</v>
      </c>
      <c r="E7" s="59">
        <v>2</v>
      </c>
      <c r="F7" s="59">
        <v>850</v>
      </c>
      <c r="G7" s="67">
        <f t="shared" ref="G7:G17" si="0">E7*F7</f>
        <v>1700</v>
      </c>
      <c r="H7" s="53"/>
    </row>
    <row r="8" spans="1:8" ht="51.45" customHeight="1">
      <c r="A8">
        <v>2</v>
      </c>
      <c r="B8" s="9" t="s">
        <v>124</v>
      </c>
      <c r="C8" s="10"/>
      <c r="D8" s="73" t="s">
        <v>116</v>
      </c>
      <c r="E8" s="11">
        <v>2</v>
      </c>
      <c r="F8" s="11">
        <v>1300</v>
      </c>
      <c r="G8" s="38">
        <f t="shared" si="0"/>
        <v>2600</v>
      </c>
      <c r="H8" s="14"/>
    </row>
    <row r="9" spans="1:8" ht="49.95" customHeight="1">
      <c r="A9">
        <v>3</v>
      </c>
      <c r="B9" s="76" t="s">
        <v>125</v>
      </c>
      <c r="C9" s="10"/>
      <c r="D9" s="73" t="s">
        <v>102</v>
      </c>
      <c r="E9" s="11">
        <v>2</v>
      </c>
      <c r="F9" s="11">
        <v>120</v>
      </c>
      <c r="G9" s="38">
        <f t="shared" si="0"/>
        <v>240</v>
      </c>
      <c r="H9" s="14"/>
    </row>
    <row r="10" spans="1:8" ht="49.95" customHeight="1">
      <c r="A10">
        <v>4</v>
      </c>
      <c r="B10" s="76" t="s">
        <v>126</v>
      </c>
      <c r="C10" s="10"/>
      <c r="D10" s="73" t="s">
        <v>102</v>
      </c>
      <c r="E10" s="11">
        <v>1</v>
      </c>
      <c r="F10" s="11">
        <v>25</v>
      </c>
      <c r="G10" s="38">
        <f t="shared" si="0"/>
        <v>25</v>
      </c>
      <c r="H10" s="14"/>
    </row>
    <row r="11" spans="1:8" ht="49.95" customHeight="1">
      <c r="A11">
        <v>5</v>
      </c>
      <c r="B11" s="9" t="s">
        <v>127</v>
      </c>
      <c r="C11" s="10"/>
      <c r="D11" s="73" t="s">
        <v>114</v>
      </c>
      <c r="E11" s="11">
        <v>1</v>
      </c>
      <c r="F11" s="11">
        <v>1000</v>
      </c>
      <c r="G11" s="38">
        <f t="shared" si="0"/>
        <v>1000</v>
      </c>
      <c r="H11" s="14"/>
    </row>
    <row r="12" spans="1:8" ht="49.95" customHeight="1">
      <c r="A12">
        <v>6</v>
      </c>
      <c r="B12" s="9" t="s">
        <v>129</v>
      </c>
      <c r="C12" s="10"/>
      <c r="D12" s="73" t="s">
        <v>94</v>
      </c>
      <c r="E12" s="11">
        <v>2</v>
      </c>
      <c r="F12" s="11">
        <v>300</v>
      </c>
      <c r="G12" s="38">
        <f t="shared" si="0"/>
        <v>600</v>
      </c>
      <c r="H12" s="14"/>
    </row>
    <row r="13" spans="1:8" ht="49.95" customHeight="1">
      <c r="A13">
        <v>7</v>
      </c>
      <c r="B13" s="9" t="s">
        <v>128</v>
      </c>
      <c r="C13" s="10"/>
      <c r="D13" s="73" t="s">
        <v>94</v>
      </c>
      <c r="E13" s="11">
        <v>1</v>
      </c>
      <c r="F13" s="11">
        <v>150</v>
      </c>
      <c r="G13" s="38">
        <f t="shared" si="0"/>
        <v>150</v>
      </c>
      <c r="H13" s="14"/>
    </row>
    <row r="14" spans="1:8" ht="49.95" customHeight="1">
      <c r="A14">
        <v>8</v>
      </c>
      <c r="B14" s="9" t="s">
        <v>130</v>
      </c>
      <c r="C14" s="10"/>
      <c r="D14" s="73" t="s">
        <v>94</v>
      </c>
      <c r="E14" s="11">
        <v>1</v>
      </c>
      <c r="F14" s="11">
        <v>100</v>
      </c>
      <c r="G14" s="38">
        <f t="shared" si="0"/>
        <v>100</v>
      </c>
      <c r="H14" s="14"/>
    </row>
    <row r="15" spans="1:8" ht="49.95" customHeight="1">
      <c r="A15">
        <v>9</v>
      </c>
      <c r="B15" s="9" t="s">
        <v>131</v>
      </c>
      <c r="C15" s="10"/>
      <c r="D15" s="73" t="s">
        <v>114</v>
      </c>
      <c r="E15" s="11">
        <v>1</v>
      </c>
      <c r="F15" s="11">
        <v>500</v>
      </c>
      <c r="G15" s="38">
        <f t="shared" si="0"/>
        <v>500</v>
      </c>
      <c r="H15" s="14"/>
    </row>
    <row r="16" spans="1:8" ht="49.95" customHeight="1">
      <c r="A16">
        <v>10</v>
      </c>
      <c r="B16" s="9" t="s">
        <v>132</v>
      </c>
      <c r="C16" s="10"/>
      <c r="D16" s="73" t="s">
        <v>94</v>
      </c>
      <c r="E16" s="11">
        <v>1</v>
      </c>
      <c r="F16" s="11">
        <v>300</v>
      </c>
      <c r="G16" s="38">
        <f t="shared" si="0"/>
        <v>300</v>
      </c>
      <c r="H16" s="14"/>
    </row>
    <row r="17" spans="1:11" ht="49.95" customHeight="1">
      <c r="A17">
        <v>11</v>
      </c>
      <c r="B17" s="9" t="s">
        <v>133</v>
      </c>
      <c r="C17" s="34"/>
      <c r="D17" s="73"/>
      <c r="E17" s="10"/>
      <c r="F17" s="10"/>
      <c r="G17" s="38">
        <f t="shared" si="0"/>
        <v>0</v>
      </c>
      <c r="H17" s="14"/>
    </row>
    <row r="18" spans="1:11" ht="49.95" customHeight="1">
      <c r="A18">
        <v>12</v>
      </c>
      <c r="B18" s="9" t="s">
        <v>134</v>
      </c>
      <c r="C18" s="11"/>
      <c r="D18" s="73" t="s">
        <v>114</v>
      </c>
      <c r="E18" s="11">
        <v>1</v>
      </c>
      <c r="F18" s="11">
        <v>6000</v>
      </c>
      <c r="G18" s="38">
        <f t="shared" ref="G18:G24" si="1">E18*F18</f>
        <v>6000</v>
      </c>
      <c r="H18" s="14"/>
    </row>
    <row r="19" spans="1:11" ht="49.95" customHeight="1">
      <c r="A19">
        <v>13</v>
      </c>
      <c r="B19" s="9" t="s">
        <v>135</v>
      </c>
      <c r="C19" s="11"/>
      <c r="D19" s="73"/>
      <c r="E19" s="11"/>
      <c r="F19" s="11"/>
      <c r="G19" s="38">
        <f t="shared" si="1"/>
        <v>0</v>
      </c>
      <c r="H19" s="14"/>
    </row>
    <row r="20" spans="1:11" ht="49.95" customHeight="1">
      <c r="A20">
        <v>14</v>
      </c>
      <c r="B20" s="9"/>
      <c r="C20" s="11"/>
      <c r="D20" s="73"/>
      <c r="E20" s="11"/>
      <c r="F20" s="11"/>
      <c r="G20" s="38">
        <f t="shared" si="1"/>
        <v>0</v>
      </c>
      <c r="H20" s="14"/>
    </row>
    <row r="21" spans="1:11" ht="49.95" customHeight="1">
      <c r="A21">
        <v>15</v>
      </c>
      <c r="B21" s="9"/>
      <c r="C21" s="11"/>
      <c r="D21" s="73"/>
      <c r="E21" s="11"/>
      <c r="F21" s="11"/>
      <c r="G21" s="38">
        <f t="shared" si="1"/>
        <v>0</v>
      </c>
      <c r="H21" s="14"/>
    </row>
    <row r="22" spans="1:11" ht="49.95" customHeight="1">
      <c r="B22" s="9"/>
      <c r="C22" s="11"/>
      <c r="D22" s="73"/>
      <c r="E22" s="11"/>
      <c r="F22" s="11"/>
      <c r="G22" s="38">
        <f t="shared" si="1"/>
        <v>0</v>
      </c>
      <c r="H22" s="14"/>
    </row>
    <row r="23" spans="1:11" ht="49.95" customHeight="1">
      <c r="B23" s="9"/>
      <c r="C23" s="11"/>
      <c r="D23" s="73"/>
      <c r="E23" s="11"/>
      <c r="F23" s="11"/>
      <c r="G23" s="38">
        <f t="shared" si="1"/>
        <v>0</v>
      </c>
      <c r="H23" s="14"/>
      <c r="J23" s="1"/>
      <c r="K23" s="1"/>
    </row>
    <row r="24" spans="1:11" ht="49.95" customHeight="1" thickBot="1">
      <c r="B24" s="62"/>
      <c r="C24" s="60"/>
      <c r="D24" s="74"/>
      <c r="E24" s="60"/>
      <c r="F24" s="60"/>
      <c r="G24" s="68">
        <f t="shared" si="1"/>
        <v>0</v>
      </c>
      <c r="H24" s="55"/>
    </row>
    <row r="25" spans="1:11" ht="61.8" customHeight="1" thickBot="1">
      <c r="B25" s="25" t="s">
        <v>10</v>
      </c>
      <c r="C25" s="64" t="s">
        <v>4</v>
      </c>
      <c r="D25" s="195">
        <f>IF(SUM(G7:G24)=0,"",SUM(G7:G24))</f>
        <v>13215</v>
      </c>
      <c r="E25" s="196"/>
      <c r="F25" s="70" t="s">
        <v>7</v>
      </c>
      <c r="G25" s="65">
        <f>SUM(G7:G24)</f>
        <v>13215</v>
      </c>
      <c r="H25" s="66"/>
    </row>
    <row r="26" spans="1:11" ht="16.8" thickTop="1"/>
  </sheetData>
  <mergeCells count="3">
    <mergeCell ref="B2:G2"/>
    <mergeCell ref="B3:G3"/>
    <mergeCell ref="D25:E25"/>
  </mergeCells>
  <phoneticPr fontId="2" type="noConversion"/>
  <pageMargins left="0.7" right="0.7" top="0.75" bottom="0.75" header="0.3" footer="0.3"/>
  <pageSetup paperSize="9"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view="pageBreakPreview" topLeftCell="A3" zoomScale="37" zoomScaleNormal="100" zoomScaleSheetLayoutView="37" workbookViewId="0">
      <selection activeCell="B26" sqref="B26:B27"/>
    </sheetView>
  </sheetViews>
  <sheetFormatPr defaultColWidth="8.77734375" defaultRowHeight="16.2"/>
  <cols>
    <col min="1" max="1" width="3.44140625" customWidth="1"/>
    <col min="2" max="2" width="55" customWidth="1"/>
    <col min="3" max="3" width="17.109375" customWidth="1"/>
    <col min="4" max="4" width="28" customWidth="1"/>
    <col min="5" max="5" width="19.77734375" bestFit="1" customWidth="1"/>
    <col min="6" max="6" width="24.44140625" customWidth="1"/>
    <col min="7" max="8" width="17.109375" customWidth="1"/>
    <col min="9" max="9" width="5" customWidth="1"/>
  </cols>
  <sheetData>
    <row r="2" spans="1:8" ht="46.2">
      <c r="B2" s="190" t="s">
        <v>13</v>
      </c>
      <c r="C2" s="190"/>
      <c r="D2" s="190"/>
      <c r="E2" s="190"/>
      <c r="F2" s="190"/>
      <c r="G2" s="190"/>
    </row>
    <row r="3" spans="1:8" ht="49.95" customHeight="1">
      <c r="B3" s="191" t="s">
        <v>8</v>
      </c>
      <c r="C3" s="191"/>
      <c r="D3" s="191"/>
      <c r="E3" s="191"/>
      <c r="F3" s="191"/>
      <c r="G3" s="191"/>
    </row>
    <row r="4" spans="1:8" ht="49.95" customHeight="1">
      <c r="B4" s="31" t="s">
        <v>80</v>
      </c>
      <c r="C4" s="3" t="s">
        <v>14</v>
      </c>
      <c r="D4" s="2"/>
      <c r="E4" s="2"/>
      <c r="F4" s="2"/>
      <c r="G4" s="2"/>
    </row>
    <row r="5" spans="1:8" ht="49.95" customHeight="1" thickBot="1">
      <c r="B5" s="2" t="s">
        <v>79</v>
      </c>
      <c r="C5" s="2"/>
      <c r="D5" s="2"/>
      <c r="E5" s="2"/>
      <c r="F5" s="2"/>
      <c r="G5" s="2"/>
    </row>
    <row r="6" spans="1:8" ht="49.95" customHeight="1" thickTop="1" thickBot="1">
      <c r="B6" s="4" t="s">
        <v>9</v>
      </c>
      <c r="C6" s="5" t="s">
        <v>0</v>
      </c>
      <c r="D6" s="5" t="s">
        <v>87</v>
      </c>
      <c r="E6" s="63" t="s">
        <v>1</v>
      </c>
      <c r="F6" s="5" t="s">
        <v>2</v>
      </c>
      <c r="G6" s="5" t="s">
        <v>3</v>
      </c>
      <c r="H6" s="8" t="s">
        <v>5</v>
      </c>
    </row>
    <row r="7" spans="1:8" ht="49.95" customHeight="1">
      <c r="A7">
        <v>1</v>
      </c>
      <c r="B7" s="61" t="s">
        <v>118</v>
      </c>
      <c r="C7" s="69"/>
      <c r="D7" s="72" t="s">
        <v>116</v>
      </c>
      <c r="E7" s="59">
        <v>1</v>
      </c>
      <c r="F7" s="59">
        <v>1800</v>
      </c>
      <c r="G7" s="67">
        <f t="shared" ref="G7:G17" si="0">E7*F7</f>
        <v>1800</v>
      </c>
      <c r="H7" s="53"/>
    </row>
    <row r="8" spans="1:8" ht="55.2" customHeight="1">
      <c r="A8">
        <v>2</v>
      </c>
      <c r="B8" s="9" t="s">
        <v>117</v>
      </c>
      <c r="C8" s="10"/>
      <c r="D8" s="73" t="s">
        <v>94</v>
      </c>
      <c r="E8" s="11">
        <v>1</v>
      </c>
      <c r="F8" s="11">
        <v>650</v>
      </c>
      <c r="G8" s="38">
        <f t="shared" si="0"/>
        <v>650</v>
      </c>
      <c r="H8" s="14"/>
    </row>
    <row r="9" spans="1:8" ht="49.95" customHeight="1">
      <c r="A9">
        <v>3</v>
      </c>
      <c r="B9" s="9" t="s">
        <v>120</v>
      </c>
      <c r="C9" s="10"/>
      <c r="D9" s="73" t="s">
        <v>119</v>
      </c>
      <c r="E9" s="11">
        <v>1</v>
      </c>
      <c r="F9" s="11">
        <v>250</v>
      </c>
      <c r="G9" s="38">
        <f t="shared" si="0"/>
        <v>250</v>
      </c>
      <c r="H9" s="14"/>
    </row>
    <row r="10" spans="1:8" ht="49.95" customHeight="1">
      <c r="A10">
        <v>4</v>
      </c>
      <c r="B10" s="9" t="s">
        <v>121</v>
      </c>
      <c r="C10" s="10"/>
      <c r="D10" s="73" t="s">
        <v>114</v>
      </c>
      <c r="E10" s="11">
        <v>1</v>
      </c>
      <c r="F10" s="11">
        <v>500</v>
      </c>
      <c r="G10" s="38">
        <f t="shared" si="0"/>
        <v>500</v>
      </c>
      <c r="H10" s="14"/>
    </row>
    <row r="11" spans="1:8" ht="49.95" customHeight="1">
      <c r="A11">
        <v>5</v>
      </c>
      <c r="B11" s="9" t="s">
        <v>122</v>
      </c>
      <c r="C11" s="10"/>
      <c r="D11" s="73" t="s">
        <v>114</v>
      </c>
      <c r="E11" s="11">
        <v>1</v>
      </c>
      <c r="F11" s="11">
        <v>2000</v>
      </c>
      <c r="G11" s="38">
        <f t="shared" si="0"/>
        <v>2000</v>
      </c>
      <c r="H11" s="14"/>
    </row>
    <row r="12" spans="1:8" ht="49.95" customHeight="1">
      <c r="A12">
        <v>6</v>
      </c>
      <c r="B12" s="9"/>
      <c r="C12" s="10"/>
      <c r="D12" s="73"/>
      <c r="E12" s="11"/>
      <c r="F12" s="11"/>
      <c r="G12" s="38">
        <f t="shared" si="0"/>
        <v>0</v>
      </c>
      <c r="H12" s="14"/>
    </row>
    <row r="13" spans="1:8" ht="49.95" customHeight="1">
      <c r="A13">
        <v>7</v>
      </c>
      <c r="B13" s="9"/>
      <c r="C13" s="10"/>
      <c r="D13" s="73"/>
      <c r="E13" s="11"/>
      <c r="F13" s="11"/>
      <c r="G13" s="38">
        <f t="shared" si="0"/>
        <v>0</v>
      </c>
      <c r="H13" s="14"/>
    </row>
    <row r="14" spans="1:8" ht="49.95" customHeight="1">
      <c r="A14">
        <v>8</v>
      </c>
      <c r="B14" s="9"/>
      <c r="C14" s="10"/>
      <c r="D14" s="73"/>
      <c r="E14" s="11"/>
      <c r="F14" s="11"/>
      <c r="G14" s="38">
        <f t="shared" si="0"/>
        <v>0</v>
      </c>
      <c r="H14" s="14"/>
    </row>
    <row r="15" spans="1:8" ht="49.95" customHeight="1">
      <c r="A15">
        <v>9</v>
      </c>
      <c r="B15" s="9"/>
      <c r="C15" s="10"/>
      <c r="D15" s="73"/>
      <c r="E15" s="11"/>
      <c r="F15" s="11"/>
      <c r="G15" s="38">
        <f t="shared" si="0"/>
        <v>0</v>
      </c>
      <c r="H15" s="14"/>
    </row>
    <row r="16" spans="1:8" ht="49.95" customHeight="1">
      <c r="A16">
        <v>10</v>
      </c>
      <c r="B16" s="9"/>
      <c r="C16" s="10"/>
      <c r="D16" s="73"/>
      <c r="E16" s="11"/>
      <c r="F16" s="11"/>
      <c r="G16" s="38">
        <f t="shared" si="0"/>
        <v>0</v>
      </c>
      <c r="H16" s="14"/>
    </row>
    <row r="17" spans="1:11" ht="49.95" customHeight="1">
      <c r="A17">
        <v>11</v>
      </c>
      <c r="B17" s="9"/>
      <c r="C17" s="34"/>
      <c r="D17" s="73"/>
      <c r="E17" s="10"/>
      <c r="F17" s="10"/>
      <c r="G17" s="38">
        <f t="shared" si="0"/>
        <v>0</v>
      </c>
      <c r="H17" s="14"/>
    </row>
    <row r="18" spans="1:11" ht="49.95" customHeight="1">
      <c r="A18">
        <v>12</v>
      </c>
      <c r="B18" s="9"/>
      <c r="C18" s="11"/>
      <c r="D18" s="73"/>
      <c r="E18" s="11"/>
      <c r="F18" s="11"/>
      <c r="G18" s="38">
        <f t="shared" ref="G18:G24" si="1">E18*F18</f>
        <v>0</v>
      </c>
      <c r="H18" s="14"/>
    </row>
    <row r="19" spans="1:11" ht="49.95" customHeight="1">
      <c r="A19">
        <v>13</v>
      </c>
      <c r="B19" s="9"/>
      <c r="C19" s="11"/>
      <c r="D19" s="73"/>
      <c r="E19" s="11"/>
      <c r="F19" s="11"/>
      <c r="G19" s="38">
        <f t="shared" si="1"/>
        <v>0</v>
      </c>
      <c r="H19" s="14"/>
    </row>
    <row r="20" spans="1:11" ht="49.95" customHeight="1">
      <c r="A20">
        <v>14</v>
      </c>
      <c r="B20" s="9"/>
      <c r="C20" s="11"/>
      <c r="D20" s="73"/>
      <c r="E20" s="11"/>
      <c r="F20" s="11"/>
      <c r="G20" s="38">
        <f t="shared" si="1"/>
        <v>0</v>
      </c>
      <c r="H20" s="14"/>
    </row>
    <row r="21" spans="1:11" ht="49.95" customHeight="1">
      <c r="A21">
        <v>15</v>
      </c>
      <c r="B21" s="9"/>
      <c r="C21" s="11"/>
      <c r="D21" s="73"/>
      <c r="E21" s="11"/>
      <c r="F21" s="11"/>
      <c r="G21" s="38">
        <f t="shared" si="1"/>
        <v>0</v>
      </c>
      <c r="H21" s="14"/>
    </row>
    <row r="22" spans="1:11" ht="49.95" customHeight="1">
      <c r="B22" s="9"/>
      <c r="C22" s="11"/>
      <c r="D22" s="73"/>
      <c r="E22" s="11"/>
      <c r="F22" s="11"/>
      <c r="G22" s="38">
        <f t="shared" si="1"/>
        <v>0</v>
      </c>
      <c r="H22" s="14"/>
    </row>
    <row r="23" spans="1:11" ht="49.95" customHeight="1">
      <c r="B23" s="9"/>
      <c r="C23" s="11"/>
      <c r="D23" s="73"/>
      <c r="E23" s="11"/>
      <c r="F23" s="11"/>
      <c r="G23" s="38">
        <f t="shared" si="1"/>
        <v>0</v>
      </c>
      <c r="H23" s="14"/>
      <c r="J23" s="1"/>
      <c r="K23" s="1"/>
    </row>
    <row r="24" spans="1:11" ht="49.95" customHeight="1" thickBot="1">
      <c r="B24" s="62"/>
      <c r="C24" s="60"/>
      <c r="D24" s="74"/>
      <c r="E24" s="60"/>
      <c r="F24" s="60"/>
      <c r="G24" s="68">
        <f t="shared" si="1"/>
        <v>0</v>
      </c>
      <c r="H24" s="55"/>
    </row>
    <row r="25" spans="1:11" ht="40.799999999999997" customHeight="1" thickBot="1">
      <c r="B25" s="25" t="s">
        <v>10</v>
      </c>
      <c r="C25" s="64" t="s">
        <v>4</v>
      </c>
      <c r="D25" s="195">
        <f>IF(SUM(G7:G24)=0,"",SUM(G7:G24))</f>
        <v>5200</v>
      </c>
      <c r="E25" s="196"/>
      <c r="F25" s="70" t="s">
        <v>7</v>
      </c>
      <c r="G25" s="65">
        <f>SUM(G7:G24)</f>
        <v>5200</v>
      </c>
      <c r="H25" s="66"/>
    </row>
    <row r="26" spans="1:11" ht="26.4" thickTop="1">
      <c r="B26" s="21" t="s">
        <v>11</v>
      </c>
      <c r="C26" s="2"/>
      <c r="D26" s="71"/>
      <c r="E26" s="2"/>
      <c r="F26" s="2"/>
      <c r="G26" s="197" t="s">
        <v>6</v>
      </c>
      <c r="H26" s="197"/>
    </row>
    <row r="27" spans="1:11" ht="25.8">
      <c r="B27" s="21" t="s">
        <v>12</v>
      </c>
      <c r="C27" s="2"/>
      <c r="D27" s="71"/>
      <c r="E27" s="2"/>
      <c r="F27" s="2"/>
      <c r="G27" s="197"/>
      <c r="H27" s="197"/>
    </row>
  </sheetData>
  <mergeCells count="4">
    <mergeCell ref="B2:G2"/>
    <mergeCell ref="B3:G3"/>
    <mergeCell ref="D25:E25"/>
    <mergeCell ref="G26:H27"/>
  </mergeCells>
  <phoneticPr fontId="2" type="noConversion"/>
  <pageMargins left="0.7" right="0.7" top="0.75" bottom="0.75" header="0.3" footer="0.3"/>
  <pageSetup paperSize="9"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"/>
  <sheetViews>
    <sheetView view="pageBreakPreview" zoomScale="95" zoomScaleNormal="100" zoomScaleSheetLayoutView="95" workbookViewId="0">
      <selection activeCell="B4" sqref="B4"/>
    </sheetView>
  </sheetViews>
  <sheetFormatPr defaultColWidth="8.77734375" defaultRowHeight="16.2"/>
  <cols>
    <col min="1" max="1" width="3.44140625" customWidth="1"/>
    <col min="2" max="2" width="55" customWidth="1"/>
    <col min="3" max="3" width="17.109375" customWidth="1"/>
    <col min="4" max="4" width="17.109375" style="75" customWidth="1"/>
    <col min="5" max="5" width="30.44140625" customWidth="1"/>
    <col min="6" max="6" width="19.77734375" bestFit="1" customWidth="1"/>
    <col min="7" max="7" width="24.44140625" customWidth="1"/>
    <col min="8" max="8" width="17.109375" customWidth="1"/>
    <col min="9" max="9" width="4" customWidth="1"/>
  </cols>
  <sheetData>
    <row r="2" spans="1:8" ht="46.2">
      <c r="B2" s="190" t="s">
        <v>13</v>
      </c>
      <c r="C2" s="190"/>
      <c r="D2" s="190"/>
      <c r="E2" s="190"/>
      <c r="F2" s="190"/>
      <c r="G2" s="190"/>
      <c r="H2" s="190"/>
    </row>
    <row r="3" spans="1:8" ht="49.95" customHeight="1">
      <c r="B3" s="191" t="s">
        <v>8</v>
      </c>
      <c r="C3" s="191"/>
      <c r="D3" s="191"/>
      <c r="E3" s="191"/>
      <c r="F3" s="191"/>
      <c r="G3" s="191"/>
      <c r="H3" s="191"/>
    </row>
    <row r="4" spans="1:8" ht="49.95" customHeight="1">
      <c r="B4" s="31" t="s">
        <v>82</v>
      </c>
      <c r="C4" s="3" t="s">
        <v>14</v>
      </c>
      <c r="D4" s="71"/>
      <c r="E4" s="2"/>
      <c r="F4" s="2"/>
      <c r="G4" s="2"/>
      <c r="H4" s="2"/>
    </row>
    <row r="5" spans="1:8" ht="49.95" customHeight="1" thickBot="1">
      <c r="B5" s="2" t="s">
        <v>83</v>
      </c>
      <c r="C5" s="2"/>
      <c r="D5" s="71"/>
      <c r="E5" s="2"/>
      <c r="F5" s="2"/>
      <c r="G5" s="2"/>
      <c r="H5" s="2"/>
    </row>
    <row r="6" spans="1:8" ht="49.95" customHeight="1" thickTop="1" thickBot="1">
      <c r="B6" s="4" t="s">
        <v>9</v>
      </c>
      <c r="C6" s="5" t="s">
        <v>0</v>
      </c>
      <c r="D6" s="5" t="s">
        <v>87</v>
      </c>
      <c r="E6" s="63" t="s">
        <v>1</v>
      </c>
      <c r="F6" s="5" t="s">
        <v>2</v>
      </c>
      <c r="G6" s="5" t="s">
        <v>3</v>
      </c>
      <c r="H6" s="8" t="s">
        <v>5</v>
      </c>
    </row>
    <row r="7" spans="1:8" ht="49.95" customHeight="1">
      <c r="A7">
        <v>1</v>
      </c>
      <c r="B7" s="61" t="s">
        <v>84</v>
      </c>
      <c r="C7" s="69" t="s">
        <v>85</v>
      </c>
      <c r="D7" s="72" t="s">
        <v>88</v>
      </c>
      <c r="E7" s="59">
        <v>3</v>
      </c>
      <c r="F7" s="59">
        <v>1450</v>
      </c>
      <c r="G7" s="67">
        <f t="shared" ref="G7:G17" si="0">E7*F7</f>
        <v>4350</v>
      </c>
      <c r="H7" s="53"/>
    </row>
    <row r="8" spans="1:8" ht="49.8" customHeight="1">
      <c r="A8">
        <v>2</v>
      </c>
      <c r="B8" s="9" t="s">
        <v>86</v>
      </c>
      <c r="C8" s="10" t="s">
        <v>85</v>
      </c>
      <c r="D8" s="73" t="s">
        <v>88</v>
      </c>
      <c r="E8" s="11">
        <v>2</v>
      </c>
      <c r="F8" s="11">
        <v>1050</v>
      </c>
      <c r="G8" s="38">
        <f t="shared" si="0"/>
        <v>2100</v>
      </c>
      <c r="H8" s="14"/>
    </row>
    <row r="9" spans="1:8" ht="49.95" customHeight="1">
      <c r="A9">
        <v>3</v>
      </c>
      <c r="B9" s="9" t="s">
        <v>89</v>
      </c>
      <c r="C9" s="10" t="s">
        <v>85</v>
      </c>
      <c r="D9" s="73" t="s">
        <v>88</v>
      </c>
      <c r="E9" s="11">
        <v>4</v>
      </c>
      <c r="F9" s="11">
        <v>3500</v>
      </c>
      <c r="G9" s="38">
        <f t="shared" si="0"/>
        <v>14000</v>
      </c>
      <c r="H9" s="14"/>
    </row>
    <row r="10" spans="1:8" ht="49.95" customHeight="1">
      <c r="A10">
        <v>4</v>
      </c>
      <c r="B10" s="9" t="s">
        <v>90</v>
      </c>
      <c r="C10" s="10" t="s">
        <v>91</v>
      </c>
      <c r="D10" s="73" t="s">
        <v>88</v>
      </c>
      <c r="E10" s="11">
        <v>2</v>
      </c>
      <c r="F10" s="11">
        <v>2000</v>
      </c>
      <c r="G10" s="38">
        <f t="shared" si="0"/>
        <v>4000</v>
      </c>
      <c r="H10" s="14"/>
    </row>
    <row r="11" spans="1:8" ht="49.95" customHeight="1">
      <c r="A11">
        <v>5</v>
      </c>
      <c r="B11" s="9" t="s">
        <v>92</v>
      </c>
      <c r="C11" s="10" t="s">
        <v>93</v>
      </c>
      <c r="D11" s="73" t="s">
        <v>94</v>
      </c>
      <c r="E11" s="11">
        <v>4</v>
      </c>
      <c r="F11" s="11">
        <v>500</v>
      </c>
      <c r="G11" s="38">
        <f t="shared" si="0"/>
        <v>2000</v>
      </c>
      <c r="H11" s="14"/>
    </row>
    <row r="12" spans="1:8" ht="49.95" customHeight="1">
      <c r="A12">
        <v>6</v>
      </c>
      <c r="B12" s="9" t="s">
        <v>95</v>
      </c>
      <c r="C12" s="10" t="s">
        <v>96</v>
      </c>
      <c r="D12" s="73" t="s">
        <v>94</v>
      </c>
      <c r="E12" s="11">
        <v>7</v>
      </c>
      <c r="F12" s="11">
        <v>100</v>
      </c>
      <c r="G12" s="38">
        <f t="shared" si="0"/>
        <v>700</v>
      </c>
      <c r="H12" s="14"/>
    </row>
    <row r="13" spans="1:8" ht="49.95" customHeight="1">
      <c r="A13">
        <v>7</v>
      </c>
      <c r="B13" s="9" t="s">
        <v>97</v>
      </c>
      <c r="C13" s="10" t="s">
        <v>96</v>
      </c>
      <c r="D13" s="73" t="s">
        <v>94</v>
      </c>
      <c r="E13" s="11">
        <v>1</v>
      </c>
      <c r="F13" s="11">
        <v>300</v>
      </c>
      <c r="G13" s="38">
        <f t="shared" si="0"/>
        <v>300</v>
      </c>
      <c r="H13" s="14"/>
    </row>
    <row r="14" spans="1:8" ht="49.95" customHeight="1">
      <c r="A14">
        <v>8</v>
      </c>
      <c r="B14" s="9" t="s">
        <v>98</v>
      </c>
      <c r="C14" s="10" t="s">
        <v>96</v>
      </c>
      <c r="D14" s="73" t="s">
        <v>94</v>
      </c>
      <c r="E14" s="11">
        <v>2</v>
      </c>
      <c r="F14" s="11">
        <v>200</v>
      </c>
      <c r="G14" s="38">
        <f t="shared" si="0"/>
        <v>400</v>
      </c>
      <c r="H14" s="14"/>
    </row>
    <row r="15" spans="1:8" ht="49.95" customHeight="1">
      <c r="A15">
        <v>9</v>
      </c>
      <c r="B15" s="9" t="s">
        <v>99</v>
      </c>
      <c r="C15" s="10" t="s">
        <v>96</v>
      </c>
      <c r="D15" s="73" t="s">
        <v>94</v>
      </c>
      <c r="E15" s="11">
        <v>1</v>
      </c>
      <c r="F15" s="11">
        <v>200</v>
      </c>
      <c r="G15" s="38">
        <f t="shared" si="0"/>
        <v>200</v>
      </c>
      <c r="H15" s="14"/>
    </row>
    <row r="16" spans="1:8" ht="49.95" customHeight="1">
      <c r="A16">
        <v>10</v>
      </c>
      <c r="B16" s="9" t="s">
        <v>100</v>
      </c>
      <c r="C16" s="10"/>
      <c r="D16" s="73" t="s">
        <v>94</v>
      </c>
      <c r="E16" s="11">
        <v>7</v>
      </c>
      <c r="F16" s="11">
        <v>25</v>
      </c>
      <c r="G16" s="38">
        <f t="shared" si="0"/>
        <v>175</v>
      </c>
      <c r="H16" s="14"/>
    </row>
    <row r="17" spans="1:12" ht="49.95" customHeight="1">
      <c r="A17">
        <v>11</v>
      </c>
      <c r="B17" s="9" t="s">
        <v>101</v>
      </c>
      <c r="C17" s="34"/>
      <c r="D17" s="73" t="s">
        <v>103</v>
      </c>
      <c r="E17" s="10">
        <v>1</v>
      </c>
      <c r="F17" s="10">
        <v>550</v>
      </c>
      <c r="G17" s="38">
        <f t="shared" si="0"/>
        <v>550</v>
      </c>
      <c r="H17" s="14"/>
    </row>
    <row r="18" spans="1:12" ht="49.95" customHeight="1">
      <c r="A18">
        <v>12</v>
      </c>
      <c r="B18" s="9" t="s">
        <v>104</v>
      </c>
      <c r="C18" s="11"/>
      <c r="D18" s="73" t="s">
        <v>94</v>
      </c>
      <c r="E18" s="11">
        <v>100</v>
      </c>
      <c r="F18" s="11">
        <v>3</v>
      </c>
      <c r="G18" s="38">
        <f t="shared" ref="G18:G25" si="1">E18*F18</f>
        <v>300</v>
      </c>
      <c r="H18" s="14"/>
    </row>
    <row r="19" spans="1:12" ht="49.95" customHeight="1">
      <c r="A19">
        <v>13</v>
      </c>
      <c r="B19" s="9" t="s">
        <v>105</v>
      </c>
      <c r="C19" s="11"/>
      <c r="D19" s="73" t="s">
        <v>94</v>
      </c>
      <c r="E19" s="11">
        <v>150</v>
      </c>
      <c r="F19" s="11">
        <v>1</v>
      </c>
      <c r="G19" s="38">
        <f t="shared" si="1"/>
        <v>150</v>
      </c>
      <c r="H19" s="14"/>
    </row>
    <row r="20" spans="1:12" ht="49.95" customHeight="1">
      <c r="A20">
        <v>14</v>
      </c>
      <c r="B20" s="9" t="s">
        <v>106</v>
      </c>
      <c r="C20" s="11"/>
      <c r="D20" s="73" t="s">
        <v>94</v>
      </c>
      <c r="E20" s="11">
        <v>1</v>
      </c>
      <c r="F20" s="11">
        <v>100</v>
      </c>
      <c r="G20" s="38">
        <f t="shared" si="1"/>
        <v>100</v>
      </c>
      <c r="H20" s="14"/>
    </row>
    <row r="21" spans="1:12" ht="49.95" customHeight="1">
      <c r="B21" s="9" t="s">
        <v>107</v>
      </c>
      <c r="C21" s="11"/>
      <c r="D21" s="73" t="s">
        <v>102</v>
      </c>
      <c r="E21" s="11">
        <v>1</v>
      </c>
      <c r="F21" s="11">
        <v>450</v>
      </c>
      <c r="G21" s="38">
        <f t="shared" si="1"/>
        <v>450</v>
      </c>
      <c r="H21" s="14"/>
    </row>
    <row r="22" spans="1:12" ht="49.95" customHeight="1">
      <c r="B22" s="9" t="s">
        <v>108</v>
      </c>
      <c r="C22" s="11"/>
      <c r="D22" s="73" t="s">
        <v>102</v>
      </c>
      <c r="E22" s="11">
        <v>1</v>
      </c>
      <c r="F22" s="11">
        <v>100</v>
      </c>
      <c r="G22" s="38">
        <f t="shared" si="1"/>
        <v>100</v>
      </c>
      <c r="H22" s="14"/>
    </row>
    <row r="23" spans="1:12" ht="49.95" customHeight="1">
      <c r="B23" s="9" t="s">
        <v>109</v>
      </c>
      <c r="C23" s="11"/>
      <c r="D23" s="73" t="s">
        <v>94</v>
      </c>
      <c r="E23" s="11">
        <v>1</v>
      </c>
      <c r="F23" s="11">
        <v>100</v>
      </c>
      <c r="G23" s="38">
        <f t="shared" si="1"/>
        <v>100</v>
      </c>
      <c r="H23" s="14"/>
    </row>
    <row r="24" spans="1:12" ht="49.95" customHeight="1">
      <c r="A24">
        <v>14</v>
      </c>
      <c r="B24" s="9" t="s">
        <v>110</v>
      </c>
      <c r="C24" s="11"/>
      <c r="D24" s="73" t="s">
        <v>94</v>
      </c>
      <c r="E24" s="11">
        <v>1</v>
      </c>
      <c r="F24" s="11">
        <v>25</v>
      </c>
      <c r="G24" s="38">
        <f t="shared" si="1"/>
        <v>25</v>
      </c>
      <c r="H24" s="14"/>
    </row>
    <row r="25" spans="1:12" ht="49.95" customHeight="1">
      <c r="B25" s="81" t="s">
        <v>111</v>
      </c>
      <c r="C25" s="11"/>
      <c r="D25" s="73" t="s">
        <v>113</v>
      </c>
      <c r="E25" s="11">
        <v>1</v>
      </c>
      <c r="F25" s="11">
        <v>100</v>
      </c>
      <c r="G25" s="38">
        <f t="shared" si="1"/>
        <v>100</v>
      </c>
      <c r="H25" s="29"/>
    </row>
    <row r="26" spans="1:12" ht="49.95" customHeight="1">
      <c r="B26" s="81" t="s">
        <v>112</v>
      </c>
      <c r="C26" s="77"/>
      <c r="D26" s="78" t="s">
        <v>115</v>
      </c>
      <c r="E26" s="77">
        <v>1</v>
      </c>
      <c r="F26" s="77">
        <v>30000</v>
      </c>
      <c r="G26" s="79">
        <f>E26*F26</f>
        <v>30000</v>
      </c>
      <c r="H26" s="29"/>
    </row>
    <row r="27" spans="1:12" ht="49.95" customHeight="1" thickBot="1">
      <c r="A27">
        <v>15</v>
      </c>
      <c r="B27" s="62" t="s">
        <v>146</v>
      </c>
      <c r="C27" s="44"/>
      <c r="D27" s="80"/>
      <c r="E27" s="44"/>
      <c r="F27" s="44"/>
      <c r="G27" s="68">
        <v>3005</v>
      </c>
      <c r="H27" s="55"/>
    </row>
    <row r="28" spans="1:12" ht="49.95" customHeight="1" thickBot="1">
      <c r="B28" s="25" t="s">
        <v>10</v>
      </c>
      <c r="C28" s="64" t="s">
        <v>4</v>
      </c>
      <c r="D28" s="195">
        <f>IF(SUM(G7:G27)=0,"",SUM(G7:G27))</f>
        <v>63105</v>
      </c>
      <c r="E28" s="196"/>
      <c r="F28" s="70" t="s">
        <v>7</v>
      </c>
      <c r="G28" s="65">
        <f>SUM(G7:G27)</f>
        <v>63105</v>
      </c>
      <c r="H28" s="66"/>
    </row>
    <row r="29" spans="1:12" ht="49.95" customHeight="1" thickTop="1">
      <c r="B29" s="21" t="s">
        <v>11</v>
      </c>
      <c r="C29" s="2"/>
      <c r="D29" s="71"/>
      <c r="E29" s="2"/>
      <c r="F29" s="2"/>
      <c r="G29" s="197" t="s">
        <v>6</v>
      </c>
      <c r="H29" s="197"/>
      <c r="K29" s="1"/>
      <c r="L29" s="1"/>
    </row>
    <row r="30" spans="1:12" ht="49.95" customHeight="1">
      <c r="B30" s="21" t="s">
        <v>12</v>
      </c>
      <c r="C30" s="2"/>
      <c r="D30" s="71"/>
      <c r="E30" s="2"/>
      <c r="F30" s="2"/>
      <c r="G30" s="197"/>
      <c r="H30" s="197"/>
    </row>
  </sheetData>
  <mergeCells count="4">
    <mergeCell ref="B2:H2"/>
    <mergeCell ref="B3:H3"/>
    <mergeCell ref="G29:H30"/>
    <mergeCell ref="D28:E28"/>
  </mergeCells>
  <phoneticPr fontId="2" type="noConversion"/>
  <pageMargins left="0.7" right="0.7" top="0.75" bottom="0.75" header="0.3" footer="0.3"/>
  <pageSetup paperSize="9"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view="pageBreakPreview" zoomScale="37" zoomScaleNormal="100" zoomScaleSheetLayoutView="37" workbookViewId="0">
      <selection activeCell="D19" sqref="D19"/>
    </sheetView>
  </sheetViews>
  <sheetFormatPr defaultColWidth="8.77734375" defaultRowHeight="16.2"/>
  <cols>
    <col min="1" max="1" width="3.44140625" customWidth="1"/>
    <col min="2" max="2" width="55" customWidth="1"/>
    <col min="3" max="3" width="17.109375" customWidth="1"/>
    <col min="4" max="4" width="48.109375" customWidth="1"/>
    <col min="5" max="5" width="19.77734375" bestFit="1" customWidth="1"/>
    <col min="6" max="6" width="24.44140625" customWidth="1"/>
    <col min="7" max="7" width="17.109375" customWidth="1"/>
    <col min="8" max="8" width="4" customWidth="1"/>
  </cols>
  <sheetData>
    <row r="2" spans="1:7" ht="46.2">
      <c r="B2" s="190" t="s">
        <v>13</v>
      </c>
      <c r="C2" s="190"/>
      <c r="D2" s="190"/>
      <c r="E2" s="190"/>
      <c r="F2" s="190"/>
      <c r="G2" s="190"/>
    </row>
    <row r="3" spans="1:7" ht="49.95" customHeight="1">
      <c r="B3" s="191" t="s">
        <v>8</v>
      </c>
      <c r="C3" s="191"/>
      <c r="D3" s="191"/>
      <c r="E3" s="191"/>
      <c r="F3" s="191"/>
      <c r="G3" s="191"/>
    </row>
    <row r="4" spans="1:7" ht="49.95" customHeight="1">
      <c r="B4" s="31" t="s">
        <v>60</v>
      </c>
      <c r="C4" s="3" t="s">
        <v>14</v>
      </c>
      <c r="D4" s="2"/>
      <c r="E4" s="2"/>
      <c r="F4" s="2"/>
      <c r="G4" s="2"/>
    </row>
    <row r="5" spans="1:7" ht="49.95" customHeight="1" thickBot="1">
      <c r="B5" s="2" t="s">
        <v>51</v>
      </c>
      <c r="C5" s="2"/>
      <c r="D5" s="2"/>
      <c r="E5" s="2"/>
      <c r="F5" s="2"/>
      <c r="G5" s="2"/>
    </row>
    <row r="6" spans="1:7" ht="49.95" customHeight="1" thickTop="1" thickBot="1">
      <c r="B6" s="4" t="s">
        <v>9</v>
      </c>
      <c r="C6" s="5" t="s">
        <v>0</v>
      </c>
      <c r="D6" s="6" t="s">
        <v>1</v>
      </c>
      <c r="E6" s="7" t="s">
        <v>2</v>
      </c>
      <c r="F6" s="5" t="s">
        <v>3</v>
      </c>
      <c r="G6" s="8" t="s">
        <v>5</v>
      </c>
    </row>
    <row r="7" spans="1:7" ht="49.95" customHeight="1">
      <c r="A7">
        <v>1</v>
      </c>
      <c r="B7" s="9" t="s">
        <v>61</v>
      </c>
      <c r="C7" s="10" t="s">
        <v>62</v>
      </c>
      <c r="D7" s="11">
        <v>4</v>
      </c>
      <c r="E7" s="12">
        <v>25000</v>
      </c>
      <c r="F7" s="13">
        <f t="shared" ref="F7:F16" si="0">D7*E7</f>
        <v>100000</v>
      </c>
      <c r="G7" s="14"/>
    </row>
    <row r="8" spans="1:7" ht="106.8" customHeight="1">
      <c r="A8">
        <v>2</v>
      </c>
      <c r="B8" s="9" t="s">
        <v>63</v>
      </c>
      <c r="C8" s="10"/>
      <c r="D8" s="11"/>
      <c r="E8" s="12"/>
      <c r="F8" s="13">
        <f t="shared" si="0"/>
        <v>0</v>
      </c>
      <c r="G8" s="14"/>
    </row>
    <row r="9" spans="1:7" ht="49.95" customHeight="1">
      <c r="A9">
        <v>3</v>
      </c>
      <c r="B9" s="9" t="s">
        <v>65</v>
      </c>
      <c r="C9" s="10" t="s">
        <v>66</v>
      </c>
      <c r="D9" s="11">
        <v>25</v>
      </c>
      <c r="E9" s="12">
        <v>100</v>
      </c>
      <c r="F9" s="13">
        <f t="shared" si="0"/>
        <v>2500</v>
      </c>
      <c r="G9" s="14"/>
    </row>
    <row r="10" spans="1:7" ht="49.95" customHeight="1">
      <c r="A10">
        <v>4</v>
      </c>
      <c r="B10" s="9" t="s">
        <v>67</v>
      </c>
      <c r="C10" s="10" t="s">
        <v>64</v>
      </c>
      <c r="D10" s="11">
        <v>1</v>
      </c>
      <c r="E10" s="12">
        <v>1000</v>
      </c>
      <c r="F10" s="13">
        <f t="shared" si="0"/>
        <v>1000</v>
      </c>
      <c r="G10" s="14"/>
    </row>
    <row r="11" spans="1:7" ht="49.95" customHeight="1">
      <c r="A11">
        <v>5</v>
      </c>
      <c r="B11" s="9" t="s">
        <v>68</v>
      </c>
      <c r="C11" s="10" t="s">
        <v>64</v>
      </c>
      <c r="D11" s="11"/>
      <c r="E11" s="12"/>
      <c r="F11" s="13">
        <f t="shared" si="0"/>
        <v>0</v>
      </c>
      <c r="G11" s="14"/>
    </row>
    <row r="12" spans="1:7" ht="49.95" customHeight="1">
      <c r="A12">
        <v>6</v>
      </c>
      <c r="B12" s="9" t="s">
        <v>76</v>
      </c>
      <c r="C12" s="10" t="s">
        <v>64</v>
      </c>
      <c r="D12" s="11">
        <v>1</v>
      </c>
      <c r="E12" s="12">
        <v>1500</v>
      </c>
      <c r="F12" s="13">
        <f t="shared" si="0"/>
        <v>1500</v>
      </c>
      <c r="G12" s="14"/>
    </row>
    <row r="13" spans="1:7" ht="49.95" customHeight="1">
      <c r="A13">
        <v>7</v>
      </c>
      <c r="B13" s="9" t="s">
        <v>69</v>
      </c>
      <c r="C13" s="10" t="s">
        <v>70</v>
      </c>
      <c r="D13" s="11">
        <v>4</v>
      </c>
      <c r="E13" s="12">
        <v>2500</v>
      </c>
      <c r="F13" s="13">
        <f t="shared" si="0"/>
        <v>10000</v>
      </c>
      <c r="G13" s="14"/>
    </row>
    <row r="14" spans="1:7" ht="49.95" customHeight="1">
      <c r="A14">
        <v>8</v>
      </c>
      <c r="B14" s="9" t="s">
        <v>71</v>
      </c>
      <c r="C14" s="10" t="s">
        <v>64</v>
      </c>
      <c r="D14" s="11">
        <v>1</v>
      </c>
      <c r="E14" s="12">
        <v>2000</v>
      </c>
      <c r="F14" s="13">
        <f t="shared" si="0"/>
        <v>2000</v>
      </c>
      <c r="G14" s="14"/>
    </row>
    <row r="15" spans="1:7" ht="49.95" customHeight="1">
      <c r="A15">
        <v>9</v>
      </c>
      <c r="B15" s="9" t="s">
        <v>72</v>
      </c>
      <c r="C15" s="10" t="s">
        <v>70</v>
      </c>
      <c r="D15" s="11">
        <v>1</v>
      </c>
      <c r="E15" s="12">
        <v>350</v>
      </c>
      <c r="F15" s="13">
        <f t="shared" si="0"/>
        <v>350</v>
      </c>
      <c r="G15" s="14"/>
    </row>
    <row r="16" spans="1:7" ht="49.95" customHeight="1">
      <c r="A16">
        <v>10</v>
      </c>
      <c r="B16" s="9" t="s">
        <v>73</v>
      </c>
      <c r="C16" s="10" t="s">
        <v>74</v>
      </c>
      <c r="D16" s="11">
        <v>1</v>
      </c>
      <c r="E16" s="12">
        <v>100</v>
      </c>
      <c r="F16" s="13">
        <f t="shared" si="0"/>
        <v>100</v>
      </c>
      <c r="G16" s="14"/>
    </row>
    <row r="17" spans="1:11" ht="49.95" customHeight="1">
      <c r="A17">
        <v>11</v>
      </c>
      <c r="B17" s="10" t="s">
        <v>75</v>
      </c>
      <c r="C17" s="34"/>
      <c r="D17" s="34"/>
      <c r="E17" s="34"/>
      <c r="F17" s="38"/>
      <c r="G17" s="14"/>
    </row>
    <row r="18" spans="1:11" ht="49.95" customHeight="1">
      <c r="A18">
        <v>12</v>
      </c>
      <c r="B18" s="34"/>
      <c r="C18" s="10"/>
      <c r="D18" s="11"/>
      <c r="E18" s="11"/>
      <c r="F18" s="38">
        <f>D18*E18</f>
        <v>0</v>
      </c>
      <c r="G18" s="14"/>
    </row>
    <row r="19" spans="1:11" ht="49.95" customHeight="1">
      <c r="A19">
        <v>13</v>
      </c>
      <c r="B19" s="9"/>
      <c r="C19" s="10"/>
      <c r="D19" s="11"/>
      <c r="E19" s="12"/>
      <c r="F19" s="13">
        <f>D19*E19</f>
        <v>0</v>
      </c>
      <c r="G19" s="14"/>
    </row>
    <row r="20" spans="1:11" ht="49.95" customHeight="1">
      <c r="A20">
        <v>14</v>
      </c>
      <c r="B20" s="9"/>
      <c r="C20" s="10"/>
      <c r="D20" s="11"/>
      <c r="E20" s="12"/>
      <c r="F20" s="13">
        <f>D20*E20</f>
        <v>0</v>
      </c>
      <c r="G20" s="14"/>
    </row>
    <row r="21" spans="1:11" ht="49.95" customHeight="1" thickBot="1">
      <c r="A21">
        <v>15</v>
      </c>
      <c r="B21" s="9"/>
      <c r="C21" s="10"/>
      <c r="D21" s="11"/>
      <c r="E21" s="12"/>
      <c r="F21" s="13">
        <f>D21*E21</f>
        <v>0</v>
      </c>
      <c r="G21" s="14"/>
    </row>
    <row r="22" spans="1:11" ht="49.95" customHeight="1" thickBot="1">
      <c r="B22" s="15" t="s">
        <v>10</v>
      </c>
      <c r="C22" s="16" t="s">
        <v>4</v>
      </c>
      <c r="D22" s="17">
        <f>IF(SUM(F7:F21)=0,"",SUM(F7:F21))</f>
        <v>117450</v>
      </c>
      <c r="E22" s="18" t="s">
        <v>7</v>
      </c>
      <c r="F22" s="19">
        <f>SUM(F7:F21)</f>
        <v>117450</v>
      </c>
      <c r="G22" s="20"/>
    </row>
    <row r="23" spans="1:11" ht="49.95" customHeight="1" thickTop="1">
      <c r="B23" s="21" t="s">
        <v>11</v>
      </c>
      <c r="C23" s="2"/>
      <c r="D23" s="2"/>
      <c r="E23" s="2"/>
      <c r="F23" s="197" t="s">
        <v>6</v>
      </c>
      <c r="G23" s="197"/>
      <c r="J23" s="1"/>
      <c r="K23" s="1"/>
    </row>
    <row r="24" spans="1:11" ht="49.95" customHeight="1">
      <c r="B24" s="21" t="s">
        <v>12</v>
      </c>
      <c r="C24" s="2"/>
      <c r="D24" s="2"/>
      <c r="E24" s="2"/>
      <c r="F24" s="197"/>
      <c r="G24" s="197"/>
    </row>
  </sheetData>
  <mergeCells count="3">
    <mergeCell ref="B2:G2"/>
    <mergeCell ref="B3:G3"/>
    <mergeCell ref="F23:G24"/>
  </mergeCells>
  <phoneticPr fontId="2" type="noConversion"/>
  <pageMargins left="0.7" right="0.7" top="0.75" bottom="0.75" header="0.3" footer="0.3"/>
  <pageSetup paperSize="9"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view="pageBreakPreview" zoomScale="180" zoomScaleNormal="100" zoomScaleSheetLayoutView="180" workbookViewId="0">
      <selection activeCell="B1" sqref="B1"/>
    </sheetView>
  </sheetViews>
  <sheetFormatPr defaultColWidth="8.77734375" defaultRowHeight="16.2"/>
  <cols>
    <col min="1" max="1" width="3.44140625" customWidth="1"/>
    <col min="2" max="2" width="55" customWidth="1"/>
    <col min="3" max="3" width="21.109375" customWidth="1"/>
    <col min="4" max="4" width="31.109375" customWidth="1"/>
    <col min="5" max="5" width="19.77734375" bestFit="1" customWidth="1"/>
    <col min="6" max="6" width="24.44140625" customWidth="1"/>
    <col min="7" max="7" width="15.109375" customWidth="1"/>
    <col min="8" max="8" width="4" customWidth="1"/>
  </cols>
  <sheetData>
    <row r="2" spans="1:7" ht="46.2">
      <c r="B2" s="190" t="s">
        <v>13</v>
      </c>
      <c r="C2" s="190"/>
      <c r="D2" s="190"/>
      <c r="E2" s="190"/>
      <c r="F2" s="190"/>
      <c r="G2" s="190"/>
    </row>
    <row r="3" spans="1:7" ht="49.95" customHeight="1">
      <c r="B3" s="191" t="s">
        <v>8</v>
      </c>
      <c r="C3" s="191"/>
      <c r="D3" s="191"/>
      <c r="E3" s="191"/>
      <c r="F3" s="191"/>
      <c r="G3" s="191"/>
    </row>
    <row r="4" spans="1:7" ht="49.95" customHeight="1">
      <c r="B4" s="31" t="s">
        <v>50</v>
      </c>
      <c r="C4" s="3" t="s">
        <v>14</v>
      </c>
      <c r="D4" s="2"/>
      <c r="E4" s="2"/>
      <c r="F4" s="2"/>
      <c r="G4" s="2"/>
    </row>
    <row r="5" spans="1:7" ht="49.95" customHeight="1" thickBot="1">
      <c r="B5" s="2" t="s">
        <v>51</v>
      </c>
      <c r="C5" s="2"/>
      <c r="D5" s="2"/>
      <c r="E5" s="2"/>
      <c r="F5" s="2"/>
      <c r="G5" s="2"/>
    </row>
    <row r="6" spans="1:7" ht="49.95" customHeight="1" thickTop="1" thickBot="1">
      <c r="B6" s="4" t="s">
        <v>9</v>
      </c>
      <c r="C6" s="5" t="s">
        <v>0</v>
      </c>
      <c r="D6" s="6" t="s">
        <v>1</v>
      </c>
      <c r="E6" s="7" t="s">
        <v>2</v>
      </c>
      <c r="F6" s="5" t="s">
        <v>3</v>
      </c>
      <c r="G6" s="8" t="s">
        <v>5</v>
      </c>
    </row>
    <row r="7" spans="1:7" ht="49.95" customHeight="1">
      <c r="A7">
        <v>1</v>
      </c>
      <c r="B7" s="9" t="s">
        <v>53</v>
      </c>
      <c r="C7" s="10" t="s">
        <v>52</v>
      </c>
      <c r="D7" s="11">
        <v>1</v>
      </c>
      <c r="E7" s="12">
        <v>6500</v>
      </c>
      <c r="F7" s="13">
        <f>D7*E7</f>
        <v>6500</v>
      </c>
      <c r="G7" s="14"/>
    </row>
    <row r="8" spans="1:7" ht="49.95" customHeight="1">
      <c r="A8">
        <v>2</v>
      </c>
      <c r="B8" s="9" t="s">
        <v>55</v>
      </c>
      <c r="C8" s="10" t="s">
        <v>54</v>
      </c>
      <c r="D8" s="11">
        <v>1</v>
      </c>
      <c r="E8" s="12">
        <v>700</v>
      </c>
      <c r="F8" s="13">
        <f>D8*E8</f>
        <v>700</v>
      </c>
      <c r="G8" s="14"/>
    </row>
    <row r="9" spans="1:7" ht="49.95" customHeight="1">
      <c r="A9">
        <v>3</v>
      </c>
      <c r="B9" s="9" t="s">
        <v>57</v>
      </c>
      <c r="C9" s="10" t="s">
        <v>56</v>
      </c>
      <c r="D9" s="11">
        <v>1</v>
      </c>
      <c r="E9" s="12">
        <v>1000</v>
      </c>
      <c r="F9" s="13">
        <f>D9*E9</f>
        <v>1000</v>
      </c>
      <c r="G9" s="14"/>
    </row>
    <row r="10" spans="1:7" ht="49.95" customHeight="1">
      <c r="A10">
        <v>4</v>
      </c>
      <c r="B10" s="9" t="s">
        <v>58</v>
      </c>
      <c r="C10" s="10" t="s">
        <v>56</v>
      </c>
      <c r="D10" s="11">
        <v>1</v>
      </c>
      <c r="E10" s="12">
        <v>800</v>
      </c>
      <c r="F10" s="13">
        <f>D10*E10</f>
        <v>800</v>
      </c>
      <c r="G10" s="14"/>
    </row>
    <row r="11" spans="1:7" ht="49.95" customHeight="1">
      <c r="A11">
        <v>5</v>
      </c>
      <c r="B11" s="58" t="s">
        <v>77</v>
      </c>
      <c r="C11" s="10" t="s">
        <v>78</v>
      </c>
      <c r="D11" s="11">
        <v>1</v>
      </c>
      <c r="E11" s="12">
        <v>6500</v>
      </c>
      <c r="F11" s="13">
        <f>D11*E11</f>
        <v>6500</v>
      </c>
      <c r="G11" s="14"/>
    </row>
    <row r="12" spans="1:7" ht="49.95" customHeight="1">
      <c r="A12">
        <v>6</v>
      </c>
      <c r="B12" s="9" t="s">
        <v>59</v>
      </c>
      <c r="C12" s="10"/>
      <c r="D12" s="11"/>
      <c r="E12" s="12"/>
      <c r="F12" s="13">
        <f t="shared" ref="F12:F19" si="0">D12*E12</f>
        <v>0</v>
      </c>
      <c r="G12" s="14"/>
    </row>
    <row r="13" spans="1:7" ht="49.95" customHeight="1">
      <c r="A13">
        <v>7</v>
      </c>
      <c r="B13" s="9"/>
      <c r="C13" s="10"/>
      <c r="D13" s="11"/>
      <c r="E13" s="12"/>
      <c r="F13" s="13">
        <f t="shared" si="0"/>
        <v>0</v>
      </c>
      <c r="G13" s="14"/>
    </row>
    <row r="14" spans="1:7" ht="49.95" customHeight="1">
      <c r="A14">
        <v>8</v>
      </c>
      <c r="B14" s="9"/>
      <c r="C14" s="10"/>
      <c r="D14" s="11"/>
      <c r="E14" s="12"/>
      <c r="F14" s="13">
        <f t="shared" si="0"/>
        <v>0</v>
      </c>
      <c r="G14" s="14"/>
    </row>
    <row r="15" spans="1:7" ht="49.95" customHeight="1">
      <c r="A15">
        <v>9</v>
      </c>
      <c r="B15" s="9"/>
      <c r="C15" s="10"/>
      <c r="D15" s="11"/>
      <c r="E15" s="12"/>
      <c r="F15" s="13">
        <f t="shared" si="0"/>
        <v>0</v>
      </c>
      <c r="G15" s="14"/>
    </row>
    <row r="16" spans="1:7" ht="49.95" customHeight="1">
      <c r="A16">
        <v>10</v>
      </c>
      <c r="B16" s="9"/>
      <c r="C16" s="10"/>
      <c r="D16" s="11"/>
      <c r="E16" s="12"/>
      <c r="F16" s="13">
        <f t="shared" si="0"/>
        <v>0</v>
      </c>
      <c r="G16" s="14"/>
    </row>
    <row r="17" spans="1:11" ht="49.95" customHeight="1">
      <c r="A17">
        <v>11</v>
      </c>
      <c r="B17" s="9"/>
      <c r="C17" s="10"/>
      <c r="D17" s="11"/>
      <c r="E17" s="12"/>
      <c r="F17" s="13">
        <f t="shared" si="0"/>
        <v>0</v>
      </c>
      <c r="G17" s="14"/>
    </row>
    <row r="18" spans="1:11" ht="49.95" customHeight="1">
      <c r="A18">
        <v>12</v>
      </c>
      <c r="B18" s="9"/>
      <c r="C18" s="10"/>
      <c r="D18" s="11"/>
      <c r="E18" s="12"/>
      <c r="F18" s="13">
        <f t="shared" si="0"/>
        <v>0</v>
      </c>
      <c r="G18" s="14"/>
    </row>
    <row r="19" spans="1:11" ht="49.95" customHeight="1">
      <c r="A19">
        <v>13</v>
      </c>
      <c r="B19" s="9"/>
      <c r="C19" s="10"/>
      <c r="D19" s="11"/>
      <c r="E19" s="12"/>
      <c r="F19" s="13">
        <f t="shared" si="0"/>
        <v>0</v>
      </c>
      <c r="G19" s="14"/>
    </row>
    <row r="20" spans="1:11" ht="49.95" customHeight="1">
      <c r="A20">
        <v>14</v>
      </c>
      <c r="B20" s="9"/>
      <c r="C20" s="10"/>
      <c r="D20" s="11"/>
      <c r="E20" s="12"/>
      <c r="F20" s="13"/>
      <c r="G20" s="14"/>
    </row>
    <row r="21" spans="1:11" ht="49.95" customHeight="1" thickBot="1">
      <c r="A21">
        <v>15</v>
      </c>
      <c r="B21" s="9"/>
      <c r="C21" s="10"/>
      <c r="D21" s="11"/>
      <c r="E21" s="12"/>
      <c r="F21" s="13"/>
      <c r="G21" s="14"/>
    </row>
    <row r="22" spans="1:11" ht="49.95" customHeight="1" thickBot="1">
      <c r="B22" s="15" t="s">
        <v>10</v>
      </c>
      <c r="C22" s="16" t="s">
        <v>4</v>
      </c>
      <c r="D22" s="17">
        <f>IF(SUM(F7:F21)=0,"",SUM(F7:F21))</f>
        <v>15500</v>
      </c>
      <c r="E22" s="18" t="s">
        <v>7</v>
      </c>
      <c r="F22" s="19">
        <f>SUM(F7:F21)</f>
        <v>15500</v>
      </c>
      <c r="G22" s="20"/>
    </row>
    <row r="23" spans="1:11" ht="49.95" customHeight="1" thickTop="1">
      <c r="B23" s="21" t="s">
        <v>11</v>
      </c>
      <c r="C23" s="2"/>
      <c r="D23" s="2"/>
      <c r="E23" s="2"/>
      <c r="F23" s="197" t="s">
        <v>6</v>
      </c>
      <c r="G23" s="197"/>
      <c r="J23" s="1"/>
      <c r="K23" s="1"/>
    </row>
    <row r="24" spans="1:11" ht="49.95" customHeight="1">
      <c r="B24" s="21" t="s">
        <v>12</v>
      </c>
      <c r="C24" s="2"/>
      <c r="D24" s="2"/>
      <c r="E24" s="2"/>
      <c r="F24" s="197"/>
      <c r="G24" s="197"/>
    </row>
  </sheetData>
  <mergeCells count="3">
    <mergeCell ref="B2:G2"/>
    <mergeCell ref="B3:G3"/>
    <mergeCell ref="F23:G24"/>
  </mergeCells>
  <phoneticPr fontId="2" type="noConversion"/>
  <pageMargins left="0.7" right="0.7" top="0.75" bottom="0.75" header="0.3" footer="0.3"/>
  <pageSetup paperSize="9" scale="4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6.2"/>
  <sheetData/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6.2"/>
  <sheetData/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0"/>
  <sheetViews>
    <sheetView view="pageBreakPreview" topLeftCell="A7" zoomScale="39" zoomScaleNormal="100" zoomScaleSheetLayoutView="39" workbookViewId="0">
      <selection activeCell="R25" sqref="R25"/>
    </sheetView>
  </sheetViews>
  <sheetFormatPr defaultColWidth="8.77734375" defaultRowHeight="16.2"/>
  <cols>
    <col min="1" max="1" width="3.44140625" customWidth="1"/>
    <col min="2" max="2" width="10.44140625" customWidth="1"/>
    <col min="3" max="3" width="41.33203125" customWidth="1"/>
    <col min="4" max="4" width="27.77734375" customWidth="1"/>
    <col min="5" max="5" width="19" customWidth="1"/>
    <col min="6" max="6" width="22.44140625" bestFit="1" customWidth="1"/>
    <col min="7" max="7" width="21.109375" customWidth="1"/>
    <col min="8" max="8" width="20.6640625" customWidth="1"/>
    <col min="9" max="9" width="4" customWidth="1"/>
  </cols>
  <sheetData>
    <row r="2" spans="2:8" ht="63.6">
      <c r="B2" s="198" t="s">
        <v>13</v>
      </c>
      <c r="C2" s="198"/>
      <c r="D2" s="198"/>
      <c r="E2" s="198"/>
      <c r="F2" s="198"/>
      <c r="G2" s="198"/>
      <c r="H2" s="198"/>
    </row>
    <row r="3" spans="2:8" ht="49.95" customHeight="1">
      <c r="B3" s="181" t="s">
        <v>8</v>
      </c>
      <c r="C3" s="181"/>
      <c r="D3" s="181"/>
      <c r="E3" s="181"/>
      <c r="F3" s="181"/>
      <c r="G3" s="181"/>
      <c r="H3" s="181"/>
    </row>
    <row r="4" spans="2:8" ht="49.95" customHeight="1">
      <c r="B4" s="31" t="s">
        <v>15</v>
      </c>
      <c r="C4" s="22"/>
      <c r="D4" s="33" t="s">
        <v>14</v>
      </c>
      <c r="E4" s="2"/>
      <c r="F4" s="2"/>
      <c r="G4" s="2"/>
      <c r="H4" s="2"/>
    </row>
    <row r="5" spans="2:8" ht="49.95" customHeight="1" thickBot="1">
      <c r="B5" s="32" t="s">
        <v>46</v>
      </c>
      <c r="C5" s="2"/>
      <c r="D5" s="2"/>
      <c r="E5" s="2"/>
      <c r="F5" s="2"/>
      <c r="G5" s="2"/>
      <c r="H5" s="2"/>
    </row>
    <row r="6" spans="2:8" ht="49.95" customHeight="1" thickTop="1" thickBot="1">
      <c r="B6" s="4" t="s">
        <v>39</v>
      </c>
      <c r="C6" s="23" t="s">
        <v>20</v>
      </c>
      <c r="D6" s="5" t="s">
        <v>40</v>
      </c>
      <c r="E6" s="6" t="s">
        <v>42</v>
      </c>
      <c r="F6" s="7" t="s">
        <v>41</v>
      </c>
      <c r="G6" s="5" t="s">
        <v>43</v>
      </c>
      <c r="H6" s="8" t="s">
        <v>38</v>
      </c>
    </row>
    <row r="7" spans="2:8" ht="49.95" customHeight="1">
      <c r="B7" s="52">
        <v>1</v>
      </c>
      <c r="C7" s="40" t="s">
        <v>16</v>
      </c>
      <c r="D7" s="41" t="s">
        <v>17</v>
      </c>
      <c r="E7" s="45">
        <v>1</v>
      </c>
      <c r="F7" s="42">
        <v>1500</v>
      </c>
      <c r="G7" s="43">
        <f>E7*F7</f>
        <v>1500</v>
      </c>
      <c r="H7" s="53"/>
    </row>
    <row r="8" spans="2:8" ht="49.95" customHeight="1">
      <c r="B8" s="30">
        <v>2</v>
      </c>
      <c r="C8" s="24" t="s">
        <v>18</v>
      </c>
      <c r="D8" s="10" t="s">
        <v>19</v>
      </c>
      <c r="E8" s="46">
        <v>1</v>
      </c>
      <c r="F8" s="12">
        <v>1800</v>
      </c>
      <c r="G8" s="13">
        <f>E8*F8</f>
        <v>1800</v>
      </c>
      <c r="H8" s="14"/>
    </row>
    <row r="9" spans="2:8" ht="49.95" customHeight="1">
      <c r="B9" s="30">
        <v>3</v>
      </c>
      <c r="C9" s="24" t="s">
        <v>21</v>
      </c>
      <c r="D9" s="10" t="s">
        <v>22</v>
      </c>
      <c r="E9" s="46">
        <v>1</v>
      </c>
      <c r="F9" s="12">
        <v>1000</v>
      </c>
      <c r="G9" s="13">
        <f>E9*F9</f>
        <v>1000</v>
      </c>
      <c r="H9" s="14"/>
    </row>
    <row r="10" spans="2:8" ht="49.95" customHeight="1">
      <c r="B10" s="30">
        <v>4</v>
      </c>
      <c r="C10" s="24" t="s">
        <v>45</v>
      </c>
      <c r="D10" s="10" t="s">
        <v>23</v>
      </c>
      <c r="E10" s="46">
        <v>6</v>
      </c>
      <c r="F10" s="12">
        <v>500</v>
      </c>
      <c r="G10" s="13">
        <f>E10*F10</f>
        <v>3000</v>
      </c>
      <c r="H10" s="14"/>
    </row>
    <row r="11" spans="2:8" ht="49.95" customHeight="1">
      <c r="B11" s="30">
        <v>5</v>
      </c>
      <c r="C11" s="24" t="s">
        <v>24</v>
      </c>
      <c r="D11" s="10" t="s">
        <v>25</v>
      </c>
      <c r="E11" s="46">
        <v>2</v>
      </c>
      <c r="F11" s="12">
        <v>850</v>
      </c>
      <c r="G11" s="13">
        <f t="shared" ref="G11:G19" si="0">E11*F11</f>
        <v>1700</v>
      </c>
      <c r="H11" s="14"/>
    </row>
    <row r="12" spans="2:8" ht="49.95" customHeight="1">
      <c r="B12" s="30">
        <v>6</v>
      </c>
      <c r="C12" s="24" t="s">
        <v>26</v>
      </c>
      <c r="D12" s="10" t="s">
        <v>27</v>
      </c>
      <c r="E12" s="46">
        <v>1</v>
      </c>
      <c r="F12" s="12">
        <v>400</v>
      </c>
      <c r="G12" s="13">
        <f t="shared" si="0"/>
        <v>400</v>
      </c>
      <c r="H12" s="14"/>
    </row>
    <row r="13" spans="2:8" ht="49.95" customHeight="1">
      <c r="B13" s="30">
        <v>7</v>
      </c>
      <c r="C13" s="24" t="s">
        <v>28</v>
      </c>
      <c r="D13" s="10" t="s">
        <v>29</v>
      </c>
      <c r="E13" s="46">
        <v>2</v>
      </c>
      <c r="F13" s="12">
        <v>25</v>
      </c>
      <c r="G13" s="13">
        <f t="shared" si="0"/>
        <v>50</v>
      </c>
      <c r="H13" s="14"/>
    </row>
    <row r="14" spans="2:8" ht="49.95" customHeight="1">
      <c r="B14" s="30">
        <v>8</v>
      </c>
      <c r="C14" s="24" t="s">
        <v>30</v>
      </c>
      <c r="D14" s="10" t="s">
        <v>31</v>
      </c>
      <c r="E14" s="46">
        <v>1</v>
      </c>
      <c r="F14" s="12">
        <v>1500</v>
      </c>
      <c r="G14" s="13">
        <f t="shared" si="0"/>
        <v>1500</v>
      </c>
      <c r="H14" s="14"/>
    </row>
    <row r="15" spans="2:8" ht="49.95" customHeight="1">
      <c r="B15" s="30">
        <v>9</v>
      </c>
      <c r="C15" s="24" t="s">
        <v>32</v>
      </c>
      <c r="D15" s="10" t="s">
        <v>33</v>
      </c>
      <c r="E15" s="46">
        <v>1</v>
      </c>
      <c r="F15" s="12">
        <v>500</v>
      </c>
      <c r="G15" s="13">
        <f t="shared" si="0"/>
        <v>500</v>
      </c>
      <c r="H15" s="14"/>
    </row>
    <row r="16" spans="2:8" ht="49.95" customHeight="1">
      <c r="B16" s="30">
        <v>10</v>
      </c>
      <c r="C16" s="24" t="s">
        <v>44</v>
      </c>
      <c r="D16" s="10" t="s">
        <v>34</v>
      </c>
      <c r="E16" s="46">
        <v>2</v>
      </c>
      <c r="F16" s="12">
        <v>750</v>
      </c>
      <c r="G16" s="13">
        <f t="shared" si="0"/>
        <v>1500</v>
      </c>
      <c r="H16" s="14"/>
    </row>
    <row r="17" spans="2:12" ht="49.95" customHeight="1">
      <c r="B17" s="30">
        <v>11</v>
      </c>
      <c r="C17" s="24" t="s">
        <v>35</v>
      </c>
      <c r="D17" s="10" t="s">
        <v>33</v>
      </c>
      <c r="E17" s="46">
        <v>2</v>
      </c>
      <c r="F17" s="12">
        <v>300</v>
      </c>
      <c r="G17" s="13">
        <f t="shared" si="0"/>
        <v>600</v>
      </c>
      <c r="H17" s="14"/>
    </row>
    <row r="18" spans="2:12" ht="49.95" customHeight="1">
      <c r="B18" s="30">
        <v>12</v>
      </c>
      <c r="C18" s="24" t="s">
        <v>36</v>
      </c>
      <c r="D18" s="10" t="s">
        <v>33</v>
      </c>
      <c r="E18" s="46">
        <v>2</v>
      </c>
      <c r="F18" s="12">
        <v>100</v>
      </c>
      <c r="G18" s="13">
        <f t="shared" si="0"/>
        <v>200</v>
      </c>
      <c r="H18" s="14"/>
    </row>
    <row r="19" spans="2:12" ht="49.95" customHeight="1">
      <c r="B19" s="30">
        <v>13</v>
      </c>
      <c r="C19" s="24" t="s">
        <v>37</v>
      </c>
      <c r="D19" s="10" t="s">
        <v>31</v>
      </c>
      <c r="E19" s="46">
        <v>1</v>
      </c>
      <c r="F19" s="12">
        <v>1000</v>
      </c>
      <c r="G19" s="13">
        <f t="shared" si="0"/>
        <v>1000</v>
      </c>
      <c r="H19" s="14"/>
    </row>
    <row r="20" spans="2:12" ht="49.95" customHeight="1">
      <c r="B20" s="30">
        <v>14</v>
      </c>
      <c r="C20" s="24" t="s">
        <v>47</v>
      </c>
      <c r="D20" s="10" t="s">
        <v>31</v>
      </c>
      <c r="E20" s="46">
        <v>1</v>
      </c>
      <c r="F20" s="12">
        <v>15000</v>
      </c>
      <c r="G20" s="13">
        <f>E20*F20</f>
        <v>15000</v>
      </c>
      <c r="H20" s="14"/>
    </row>
    <row r="21" spans="2:12" ht="49.95" customHeight="1">
      <c r="B21" s="30">
        <v>15</v>
      </c>
      <c r="C21" s="24" t="s">
        <v>48</v>
      </c>
      <c r="D21" s="26" t="s">
        <v>31</v>
      </c>
      <c r="E21" s="47">
        <v>1</v>
      </c>
      <c r="F21" s="27">
        <v>1488</v>
      </c>
      <c r="G21" s="28">
        <f>E21*F21</f>
        <v>1488</v>
      </c>
      <c r="H21" s="14"/>
    </row>
    <row r="22" spans="2:12" ht="49.95" customHeight="1">
      <c r="B22" s="30">
        <v>16</v>
      </c>
      <c r="C22" s="24" t="s">
        <v>49</v>
      </c>
      <c r="D22" s="10"/>
      <c r="E22" s="46"/>
      <c r="F22" s="12"/>
      <c r="G22" s="38"/>
      <c r="H22" s="14"/>
    </row>
    <row r="23" spans="2:12" ht="49.95" customHeight="1">
      <c r="B23" s="30">
        <v>17</v>
      </c>
      <c r="C23" s="24"/>
      <c r="D23" s="34"/>
      <c r="E23" s="48"/>
      <c r="F23" s="50"/>
      <c r="G23" s="38"/>
      <c r="H23" s="14"/>
    </row>
    <row r="24" spans="2:12" ht="49.95" customHeight="1">
      <c r="B24" s="30">
        <v>18</v>
      </c>
      <c r="C24" s="10"/>
      <c r="D24" s="10"/>
      <c r="E24" s="46"/>
      <c r="F24" s="12"/>
      <c r="G24" s="38"/>
      <c r="H24" s="29"/>
    </row>
    <row r="25" spans="2:12" ht="49.95" customHeight="1">
      <c r="B25" s="30">
        <v>19</v>
      </c>
      <c r="C25" s="10"/>
      <c r="D25" s="10"/>
      <c r="E25" s="46"/>
      <c r="F25" s="12"/>
      <c r="G25" s="38"/>
      <c r="H25" s="29"/>
    </row>
    <row r="26" spans="2:12" ht="49.95" customHeight="1" thickBot="1">
      <c r="B26" s="54">
        <v>20</v>
      </c>
      <c r="C26" s="44"/>
      <c r="D26" s="44"/>
      <c r="E26" s="49"/>
      <c r="F26" s="51"/>
      <c r="G26" s="38"/>
      <c r="H26" s="55"/>
    </row>
    <row r="27" spans="2:12" ht="71.55" customHeight="1" thickBot="1">
      <c r="B27" s="25" t="s">
        <v>10</v>
      </c>
      <c r="C27" s="35" t="s">
        <v>4</v>
      </c>
      <c r="D27" s="202">
        <f>IF(SUM(G7:G25)=0,"",SUM(G7:G25))</f>
        <v>31238</v>
      </c>
      <c r="E27" s="203"/>
      <c r="F27" s="36" t="s">
        <v>7</v>
      </c>
      <c r="G27" s="37">
        <f>SUM(G7:G25)</f>
        <v>31238</v>
      </c>
      <c r="H27" s="39"/>
    </row>
    <row r="28" spans="2:12" ht="33" customHeight="1" thickTop="1">
      <c r="B28" s="204" t="s">
        <v>11</v>
      </c>
      <c r="C28" s="205"/>
      <c r="D28" s="205"/>
      <c r="E28" s="205"/>
      <c r="F28" s="56"/>
      <c r="G28" s="197" t="s">
        <v>6</v>
      </c>
      <c r="H28" s="199"/>
      <c r="K28" s="1"/>
      <c r="L28" s="1"/>
    </row>
    <row r="29" spans="2:12" ht="46.8" customHeight="1" thickBot="1">
      <c r="B29" s="206" t="s">
        <v>12</v>
      </c>
      <c r="C29" s="207"/>
      <c r="D29" s="207"/>
      <c r="E29" s="207"/>
      <c r="F29" s="57"/>
      <c r="G29" s="200"/>
      <c r="H29" s="201"/>
    </row>
    <row r="30" spans="2:12" ht="16.8" thickTop="1"/>
  </sheetData>
  <mergeCells count="6">
    <mergeCell ref="B2:H2"/>
    <mergeCell ref="B3:H3"/>
    <mergeCell ref="G28:H29"/>
    <mergeCell ref="D27:E27"/>
    <mergeCell ref="B28:E28"/>
    <mergeCell ref="B29:E29"/>
  </mergeCells>
  <phoneticPr fontId="2" type="noConversion"/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已命名的範圍</vt:lpstr>
      </vt:variant>
      <vt:variant>
        <vt:i4>24</vt:i4>
      </vt:variant>
    </vt:vector>
  </HeadingPairs>
  <TitlesOfParts>
    <vt:vector size="50" baseType="lpstr">
      <vt:lpstr>鄭小姐(追加)</vt:lpstr>
      <vt:lpstr>建宏車業</vt:lpstr>
      <vt:lpstr>蔡同學</vt:lpstr>
      <vt:lpstr>湯顧問</vt:lpstr>
      <vt:lpstr>黃顧問 (2)</vt:lpstr>
      <vt:lpstr>黃顧問</vt:lpstr>
      <vt:lpstr>八寶寮 (2)</vt:lpstr>
      <vt:lpstr>八寶寮</vt:lpstr>
      <vt:lpstr>蔡先生 (2)</vt:lpstr>
      <vt:lpstr>蔡先生</vt:lpstr>
      <vt:lpstr>鄭小姐</vt:lpstr>
      <vt:lpstr>蕭小姐</vt:lpstr>
      <vt:lpstr>綠島</vt:lpstr>
      <vt:lpstr>民雄</vt:lpstr>
      <vt:lpstr>致銘</vt:lpstr>
      <vt:lpstr>小耿學長</vt:lpstr>
      <vt:lpstr>小歐(東義路)</vt:lpstr>
      <vt:lpstr>鴻儀(家)</vt:lpstr>
      <vt:lpstr>阿華家</vt:lpstr>
      <vt:lpstr>邱顧問</vt:lpstr>
      <vt:lpstr>致鳴</vt:lpstr>
      <vt:lpstr>黃先生</vt:lpstr>
      <vt:lpstr>政憲學長</vt:lpstr>
      <vt:lpstr>工作表2</vt:lpstr>
      <vt:lpstr>工作表3</vt:lpstr>
      <vt:lpstr>舊</vt:lpstr>
      <vt:lpstr>八寶寮!Print_Area</vt:lpstr>
      <vt:lpstr>'八寶寮 (2)'!Print_Area</vt:lpstr>
      <vt:lpstr>小耿學長!Print_Area</vt:lpstr>
      <vt:lpstr>'小歐(東義路)'!Print_Area</vt:lpstr>
      <vt:lpstr>民雄!Print_Area</vt:lpstr>
      <vt:lpstr>邱顧問!Print_Area</vt:lpstr>
      <vt:lpstr>阿華家!Print_Area</vt:lpstr>
      <vt:lpstr>建宏車業!Print_Area</vt:lpstr>
      <vt:lpstr>政憲學長!Print_Area</vt:lpstr>
      <vt:lpstr>致銘!Print_Area</vt:lpstr>
      <vt:lpstr>致鳴!Print_Area</vt:lpstr>
      <vt:lpstr>湯顧問!Print_Area</vt:lpstr>
      <vt:lpstr>黃先生!Print_Area</vt:lpstr>
      <vt:lpstr>黃顧問!Print_Area</vt:lpstr>
      <vt:lpstr>'黃顧問 (2)'!Print_Area</vt:lpstr>
      <vt:lpstr>綠島!Print_Area</vt:lpstr>
      <vt:lpstr>蔡先生!Print_Area</vt:lpstr>
      <vt:lpstr>'蔡先生 (2)'!Print_Area</vt:lpstr>
      <vt:lpstr>蔡同學!Print_Area</vt:lpstr>
      <vt:lpstr>鄭小姐!Print_Area</vt:lpstr>
      <vt:lpstr>'鄭小姐(追加)'!Print_Area</vt:lpstr>
      <vt:lpstr>蕭小姐!Print_Area</vt:lpstr>
      <vt:lpstr>'鴻儀(家)'!Print_Area</vt:lpstr>
      <vt:lpstr>舊!Print_Area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2020-12-02T04:06:56Z</cp:lastPrinted>
  <dcterms:created xsi:type="dcterms:W3CDTF">2020-12-02T02:09:04Z</dcterms:created>
  <dcterms:modified xsi:type="dcterms:W3CDTF">2023-07-17T00:18:57Z</dcterms:modified>
</cp:coreProperties>
</file>